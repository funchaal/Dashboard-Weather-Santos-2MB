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etecspgov-my.sharepoint.com/personal/rafael_funchal_etec_sp_gov_br/Documents/"/>
    </mc:Choice>
  </mc:AlternateContent>
  <xr:revisionPtr revIDLastSave="0" documentId="8_{18D898DD-954B-4D38-B9D1-480E0D51A8DC}" xr6:coauthVersionLast="47" xr6:coauthVersionMax="47" xr10:uidLastSave="{00000000-0000-0000-0000-000000000000}"/>
  <bookViews>
    <workbookView xWindow="-108" yWindow="-108" windowWidth="23256" windowHeight="13176" firstSheet="2" activeTab="5" xr2:uid="{1BC04482-91F8-4CAA-8815-911987BB3D9F}"/>
  </bookViews>
  <sheets>
    <sheet name="tabela_query" sheetId="4" r:id="rId1"/>
    <sheet name="tabela_media" sheetId="7" r:id="rId2"/>
    <sheet name="tabela_chuva" sheetId="10" r:id="rId3"/>
    <sheet name="tabela_maxima" sheetId="11" r:id="rId4"/>
    <sheet name="tabela_minima" sheetId="12" r:id="rId5"/>
    <sheet name="dashboard" sheetId="9" r:id="rId6"/>
    <sheet name="Climograma Santos - SP" sheetId="13" r:id="rId7"/>
    <sheet name="Tabela de registros climáticos" sheetId="1" r:id="rId8"/>
    <sheet name="Fonte" sheetId="2" r:id="rId9"/>
  </sheets>
  <definedNames>
    <definedName name="_xlchart.v2.0" hidden="1">tabela_chuva!$W$2:$W$8</definedName>
    <definedName name="_xlchart.v2.1" hidden="1">tabela_chuva!$Y$2:$Y$8</definedName>
    <definedName name="_xlcn.WorksheetConnection_Pasta1version1.xlsbTabela1" hidden="1">Tabela1[]</definedName>
    <definedName name="_xlcn.WorksheetConnection_Pasta1version1.xlsbTabela2" hidden="1">Tabela2[]</definedName>
    <definedName name="DadosExternos_1" localSheetId="0" hidden="1">tabela_query!$A$1:$D$31</definedName>
    <definedName name="tabrla_query">tabela_query[#All]</definedName>
    <definedName name="temperatura_media">tabela_media[]</definedName>
    <definedName name="temperaturaMedia">tabela_media[]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2" name="Tabela2" connection="WorksheetConnection_Pasta1 (version 1).xlsb!Tabela2"/>
          <x15:modelTable id="Tabela1" name="Tabela1" connection="WorksheetConnection_Pasta1 (version 1).xlsb!Tabela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1" i="1" l="1"/>
  <c r="E31" i="1"/>
  <c r="F30" i="1"/>
  <c r="E30" i="1"/>
  <c r="F29" i="1"/>
  <c r="E29" i="1"/>
  <c r="F28" i="1"/>
  <c r="E28" i="1"/>
  <c r="F27" i="1"/>
  <c r="E27" i="1"/>
  <c r="F26" i="1"/>
  <c r="E26" i="1"/>
  <c r="F25" i="1"/>
  <c r="E25" i="1"/>
  <c r="F24" i="1"/>
  <c r="E24" i="1"/>
  <c r="F23" i="1"/>
  <c r="E23" i="1"/>
  <c r="F22" i="1"/>
  <c r="E22" i="1"/>
  <c r="F21" i="1"/>
  <c r="E21" i="1"/>
  <c r="F20" i="1"/>
  <c r="E20" i="1"/>
  <c r="F19" i="1"/>
  <c r="E19" i="1"/>
  <c r="F18" i="1"/>
  <c r="E18" i="1"/>
  <c r="F17" i="1"/>
  <c r="E17" i="1"/>
  <c r="F16" i="1"/>
  <c r="E16" i="1"/>
  <c r="F15" i="1"/>
  <c r="E15" i="1"/>
  <c r="F14" i="1"/>
  <c r="E14" i="1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F2" i="1"/>
  <c r="E2" i="1"/>
  <c r="I10" i="12"/>
  <c r="I9" i="12"/>
  <c r="I8" i="12"/>
  <c r="I7" i="12"/>
  <c r="I6" i="12"/>
  <c r="I5" i="12"/>
  <c r="I4" i="12"/>
  <c r="I3" i="12"/>
  <c r="I2" i="12"/>
  <c r="I10" i="11"/>
  <c r="I9" i="11"/>
  <c r="I8" i="11"/>
  <c r="I7" i="11"/>
  <c r="I6" i="11"/>
  <c r="I5" i="11"/>
  <c r="I4" i="11"/>
  <c r="I3" i="11"/>
  <c r="I2" i="11"/>
  <c r="S19" i="10"/>
  <c r="S18" i="10"/>
  <c r="S17" i="10"/>
  <c r="S16" i="10"/>
  <c r="S15" i="10"/>
  <c r="S14" i="10"/>
  <c r="B14" i="10"/>
  <c r="AB8" i="10" s="1"/>
  <c r="S13" i="10"/>
  <c r="I10" i="10"/>
  <c r="I9" i="10"/>
  <c r="AC8" i="10"/>
  <c r="I8" i="10"/>
  <c r="AC7" i="10"/>
  <c r="I7" i="10"/>
  <c r="M6" i="10"/>
  <c r="I6" i="10"/>
  <c r="AB5" i="10"/>
  <c r="I5" i="10"/>
  <c r="M4" i="10"/>
  <c r="I4" i="10"/>
  <c r="AB3" i="10"/>
  <c r="I3" i="10"/>
  <c r="M2" i="10"/>
  <c r="I2" i="10"/>
  <c r="I10" i="7"/>
  <c r="I9" i="7"/>
  <c r="I8" i="7"/>
  <c r="I7" i="7"/>
  <c r="I6" i="7"/>
  <c r="I5" i="7"/>
  <c r="I4" i="7"/>
  <c r="I3" i="7"/>
  <c r="I2" i="7"/>
  <c r="Q2" i="10" l="1"/>
  <c r="AC3" i="10"/>
  <c r="L5" i="10"/>
  <c r="Q6" i="10"/>
  <c r="AB2" i="10"/>
  <c r="M3" i="10"/>
  <c r="AB4" i="10"/>
  <c r="M5" i="10"/>
  <c r="W2" i="10" s="1"/>
  <c r="AB6" i="10"/>
  <c r="M7" i="10"/>
  <c r="L8" i="10"/>
  <c r="L3" i="10"/>
  <c r="Q4" i="10"/>
  <c r="O6" i="10" s="1"/>
  <c r="P6" i="10" s="1"/>
  <c r="AC5" i="10"/>
  <c r="L7" i="10"/>
  <c r="L2" i="10"/>
  <c r="AC2" i="10"/>
  <c r="Q3" i="10"/>
  <c r="O3" i="10" s="1"/>
  <c r="P3" i="10" s="1"/>
  <c r="L4" i="10"/>
  <c r="AC4" i="10"/>
  <c r="Q5" i="10"/>
  <c r="O5" i="10" s="1"/>
  <c r="P5" i="10" s="1"/>
  <c r="L6" i="10"/>
  <c r="AC6" i="10"/>
  <c r="Q7" i="10"/>
  <c r="Q8" i="10"/>
  <c r="O2" i="10"/>
  <c r="P2" i="10" s="1"/>
  <c r="AB7" i="10"/>
  <c r="M8" i="10"/>
  <c r="W3" i="10" s="1"/>
  <c r="O7" i="10" l="1"/>
  <c r="P7" i="10" s="1"/>
  <c r="O4" i="10"/>
  <c r="P4" i="10" s="1"/>
  <c r="W4" i="10"/>
  <c r="O8" i="10"/>
  <c r="P8" i="10" s="1"/>
  <c r="T3" i="10"/>
  <c r="U3" i="10" s="1"/>
  <c r="X3" i="10" s="1"/>
  <c r="Y3" i="10" s="1"/>
  <c r="T4" i="10"/>
  <c r="U4" i="10" s="1"/>
  <c r="X4" i="10" s="1"/>
  <c r="Y4" i="10" s="1"/>
  <c r="T2" i="10"/>
  <c r="U2" i="10"/>
  <c r="X2" i="10" s="1"/>
  <c r="Y2" i="10" s="1"/>
  <c r="W8" i="10"/>
  <c r="W6" i="10"/>
  <c r="W5" i="10"/>
  <c r="W7" i="10"/>
  <c r="T6" i="10" l="1"/>
  <c r="U6" i="10" s="1"/>
  <c r="X6" i="10" s="1"/>
  <c r="Y6" i="10" s="1"/>
  <c r="T7" i="10"/>
  <c r="U7" i="10" s="1"/>
  <c r="X7" i="10" s="1"/>
  <c r="Y7" i="10" s="1"/>
  <c r="T8" i="10"/>
  <c r="U8" i="10" s="1"/>
  <c r="X8" i="10" s="1"/>
  <c r="Y8" i="10" s="1"/>
  <c r="T5" i="10"/>
  <c r="U5" i="10" s="1"/>
  <c r="X5" i="10" s="1"/>
  <c r="Y5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739C3-9AA0-42F4-BFA6-31781331DECE}" keepAlive="1" name="Consulta - Tabela1" description="Conexão com a consulta 'Tabela1' na pasta de trabalho." type="5" refreshedVersion="7" background="1" saveData="1">
    <dbPr connection="Provider=Microsoft.Mashup.OleDb.1;Data Source=$Workbook$;Location=Tabela1;Extended Properties=&quot;&quot;" command="SELECT * FROM [Tabela1]"/>
  </connection>
  <connection id="2" xr16:uid="{433B212A-CCBB-4524-96BA-69BD83A46DFC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FAD35859-A544-4EEF-B5D0-5257BE67EC12}" name="WorksheetConnection_Pasta1 (version 1).xlsb!Tabela1" type="102" refreshedVersion="7" minRefreshableVersion="5">
    <extLst>
      <ext xmlns:x15="http://schemas.microsoft.com/office/spreadsheetml/2010/11/main" uri="{DE250136-89BD-433C-8126-D09CA5730AF9}">
        <x15:connection id="Tabela1">
          <x15:rangePr sourceName="_xlcn.WorksheetConnection_Pasta1version1.xlsbTabela1"/>
        </x15:connection>
      </ext>
    </extLst>
  </connection>
  <connection id="4" xr16:uid="{DAB90DA7-38B5-4BB5-BFB7-273AA128EE03}" name="WorksheetConnection_Pasta1 (version 1).xlsb!Tabela2" type="102" refreshedVersion="7" minRefreshableVersion="5">
    <extLst>
      <ext xmlns:x15="http://schemas.microsoft.com/office/spreadsheetml/2010/11/main" uri="{DE250136-89BD-433C-8126-D09CA5730AF9}">
        <x15:connection id="Tabela2">
          <x15:rangePr sourceName="_xlcn.WorksheetConnection_Pasta1version1.xlsbTabela2"/>
        </x15:connection>
      </ext>
    </extLst>
  </connection>
</connections>
</file>

<file path=xl/sharedStrings.xml><?xml version="1.0" encoding="utf-8"?>
<sst xmlns="http://schemas.openxmlformats.org/spreadsheetml/2006/main" count="144" uniqueCount="37">
  <si>
    <t>Dia</t>
  </si>
  <si>
    <t>Chuva (mm)</t>
  </si>
  <si>
    <t>Temperatura máxima (Cº)</t>
  </si>
  <si>
    <t>Temperatura mímima (Cº)</t>
  </si>
  <si>
    <t>Data</t>
  </si>
  <si>
    <t>Data de registro</t>
  </si>
  <si>
    <t>Temperatura média (Cº)</t>
  </si>
  <si>
    <t>Semana</t>
  </si>
  <si>
    <t>Semana 1</t>
  </si>
  <si>
    <t>Semana 2</t>
  </si>
  <si>
    <t>Semana 3</t>
  </si>
  <si>
    <t>Semana 4</t>
  </si>
  <si>
    <t>Semana 5</t>
  </si>
  <si>
    <t>Semana 6</t>
  </si>
  <si>
    <t>Semana 7</t>
  </si>
  <si>
    <t>Semana 8</t>
  </si>
  <si>
    <t>Semana 9</t>
  </si>
  <si>
    <t>Dia 1</t>
  </si>
  <si>
    <t>Dia 2</t>
  </si>
  <si>
    <t>Dia 3</t>
  </si>
  <si>
    <t>Dia 4</t>
  </si>
  <si>
    <t>Dia 5</t>
  </si>
  <si>
    <t>Dia 6</t>
  </si>
  <si>
    <t>Dia 7</t>
  </si>
  <si>
    <t>Média</t>
  </si>
  <si>
    <t>Semanas</t>
  </si>
  <si>
    <t>Dias</t>
  </si>
  <si>
    <t>Chuva</t>
  </si>
  <si>
    <t>Temp média</t>
  </si>
  <si>
    <t>Sábado</t>
  </si>
  <si>
    <t>Domingo</t>
  </si>
  <si>
    <t>Segunda</t>
  </si>
  <si>
    <t>Terça</t>
  </si>
  <si>
    <t>Quarta</t>
  </si>
  <si>
    <t>Quinta</t>
  </si>
  <si>
    <t>Sexta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</si>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</sst>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hh:mm:ss"/>
    <numFmt numFmtId="165" formatCode="#\C\º"/>
    <numFmt numFmtId="166" formatCode="0&quot;mm&quot;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8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14" fontId="2" fillId="0" borderId="0" xfId="0" applyNumberFormat="1" applyFont="1" applyFill="1" applyAlignment="1">
      <alignment horizontal="center" vertical="center"/>
    </xf>
    <xf numFmtId="0" fontId="0" fillId="2" borderId="0" xfId="0" applyFill="1"/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164" fontId="0" fillId="0" borderId="0" xfId="0" applyNumberFormat="1"/>
    <xf numFmtId="2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1" fontId="0" fillId="0" borderId="0" xfId="0" applyNumberFormat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0" fontId="4" fillId="0" borderId="0" xfId="0" applyFont="1"/>
  </cellXfs>
  <cellStyles count="1">
    <cellStyle name="Normal" xfId="0" builtinId="0"/>
  </cellStyles>
  <dxfs count="54"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\ 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67F00"/>
      <color rgb="FFD65C00"/>
      <color rgb="FF552579"/>
      <color rgb="FF1F4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Climograma</a:t>
            </a:r>
            <a:r>
              <a:rPr lang="en-US" baseline="0"/>
              <a:t> Santos - SP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Chuva (mm)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tabela_chuva!$A$2:$A$10</c:f>
              <c:strCache>
                <c:ptCount val="9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  <c:pt idx="6">
                  <c:v>Semana 7</c:v>
                </c:pt>
                <c:pt idx="7">
                  <c:v>Semana 8</c:v>
                </c:pt>
                <c:pt idx="8">
                  <c:v>Semana 9</c:v>
                </c:pt>
              </c:strCache>
            </c:strRef>
          </c:cat>
          <c:val>
            <c:numRef>
              <c:f>tabela_chuva!$I$2:$I$10</c:f>
              <c:numCache>
                <c:formatCode>0.00</c:formatCode>
                <c:ptCount val="9"/>
                <c:pt idx="0">
                  <c:v>12.857142857142858</c:v>
                </c:pt>
                <c:pt idx="1">
                  <c:v>7.1428571428571432</c:v>
                </c:pt>
                <c:pt idx="2">
                  <c:v>4.2857142857142856</c:v>
                </c:pt>
                <c:pt idx="3">
                  <c:v>12.142857142857142</c:v>
                </c:pt>
                <c:pt idx="4">
                  <c:v>0.2857142857142857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9C-45EC-8C19-F24EF836DD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570433648"/>
        <c:axId val="113733168"/>
      </c:barChart>
      <c:lineChart>
        <c:grouping val="standard"/>
        <c:varyColors val="0"/>
        <c:ser>
          <c:idx val="1"/>
          <c:order val="1"/>
          <c:tx>
            <c:v>Temperatura (Cº)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rgbClr val="FF0000"/>
                  </a:gs>
                </a:gsLst>
                <a:lin ang="5400000" scaled="1"/>
              </a:gradFill>
              <a:ln>
                <a:noFill/>
              </a:ln>
              <a:effectLst/>
            </c:spPr>
          </c:marker>
          <c:dLbls>
            <c:numFmt formatCode="#,##0" sourceLinked="0"/>
            <c:spPr>
              <a:solidFill>
                <a:srgbClr val="D67F00"/>
              </a:solidFill>
              <a:ln>
                <a:noFill/>
              </a:ln>
              <a:effectLst>
                <a:softEdge rad="127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tabela_media!$I$2:$I$10</c:f>
              <c:numCache>
                <c:formatCode>0</c:formatCode>
                <c:ptCount val="9"/>
                <c:pt idx="0">
                  <c:v>20</c:v>
                </c:pt>
                <c:pt idx="1">
                  <c:v>23</c:v>
                </c:pt>
                <c:pt idx="2">
                  <c:v>25</c:v>
                </c:pt>
                <c:pt idx="3">
                  <c:v>21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59C-45EC-8C19-F24EF836D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01632"/>
        <c:axId val="765599008"/>
      </c:lineChart>
      <c:catAx>
        <c:axId val="570433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Semanas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33168"/>
        <c:crosses val="autoZero"/>
        <c:auto val="1"/>
        <c:lblAlgn val="ctr"/>
        <c:lblOffset val="100"/>
        <c:noMultiLvlLbl val="0"/>
      </c:catAx>
      <c:valAx>
        <c:axId val="11373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Chuva</a:t>
                </a:r>
                <a:r>
                  <a:rPr lang="en-US" baseline="0"/>
                  <a:t> (mm)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33648"/>
        <c:crosses val="autoZero"/>
        <c:crossBetween val="between"/>
      </c:valAx>
      <c:valAx>
        <c:axId val="7655990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</a:t>
                </a:r>
                <a:r>
                  <a:rPr lang="en-US" baseline="0"/>
                  <a:t> (Cº)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01632"/>
        <c:crosses val="max"/>
        <c:crossBetween val="between"/>
      </c:valAx>
      <c:catAx>
        <c:axId val="765601632"/>
        <c:scaling>
          <c:orientation val="minMax"/>
        </c:scaling>
        <c:delete val="1"/>
        <c:axPos val="b"/>
        <c:majorTickMark val="out"/>
        <c:minorTickMark val="none"/>
        <c:tickLblPos val="nextTo"/>
        <c:crossAx val="765599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Dias</a:t>
            </a:r>
            <a:r>
              <a:rPr lang="en-US" baseline="0"/>
              <a:t> detalhados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Pluviosidade (mm)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8"/>
            <c:spPr>
              <a:gradFill>
                <a:gsLst>
                  <a:gs pos="0">
                    <a:srgbClr val="FF0000"/>
                  </a:gs>
                  <a:gs pos="100000">
                    <a:srgbClr val="0070C0"/>
                  </a:gs>
                </a:gsLst>
                <a:lin ang="5400000" scaled="1"/>
              </a:gra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tabela_chuva!$S$13:$S$19</c:f>
              <c:strCache>
                <c:ptCount val="7"/>
                <c:pt idx="0">
                  <c:v>Dia 1 (Sábado)</c:v>
                </c:pt>
                <c:pt idx="1">
                  <c:v>Dia 2 (Domingo)</c:v>
                </c:pt>
                <c:pt idx="2">
                  <c:v>Dia 3 (Segunda)</c:v>
                </c:pt>
                <c:pt idx="3">
                  <c:v>Dia 4 (Terça)</c:v>
                </c:pt>
                <c:pt idx="4">
                  <c:v>Dia 5 (Quarta)</c:v>
                </c:pt>
                <c:pt idx="5">
                  <c:v>Dia 6 (Quinta)</c:v>
                </c:pt>
                <c:pt idx="6">
                  <c:v>Dia 7 (Sexta)</c:v>
                </c:pt>
              </c:strCache>
            </c:strRef>
          </c:cat>
          <c:val>
            <c:numRef>
              <c:f>tabela_chuva!$L$2:$L$8</c:f>
              <c:numCache>
                <c:formatCode>0"mm"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  <c:pt idx="5">
                  <c:v>40</c:v>
                </c:pt>
                <c:pt idx="6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05-41BC-9AF1-C0C50AFEF391}"/>
            </c:ext>
          </c:extLst>
        </c:ser>
        <c:ser>
          <c:idx val="1"/>
          <c:order val="1"/>
          <c:tx>
            <c:v>Temperatura média (Cº)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gradFill>
                <a:gsLst>
                  <a:gs pos="0">
                    <a:srgbClr val="FF0000"/>
                  </a:gs>
                  <a:gs pos="100000">
                    <a:srgbClr val="0070C0"/>
                  </a:gs>
                </a:gsLst>
                <a:lin ang="5400000" scaled="1"/>
              </a:gra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tabela_chuva!$S$13:$S$19</c:f>
              <c:strCache>
                <c:ptCount val="7"/>
                <c:pt idx="0">
                  <c:v>Dia 1 (Sábado)</c:v>
                </c:pt>
                <c:pt idx="1">
                  <c:v>Dia 2 (Domingo)</c:v>
                </c:pt>
                <c:pt idx="2">
                  <c:v>Dia 3 (Segunda)</c:v>
                </c:pt>
                <c:pt idx="3">
                  <c:v>Dia 4 (Terça)</c:v>
                </c:pt>
                <c:pt idx="4">
                  <c:v>Dia 5 (Quarta)</c:v>
                </c:pt>
                <c:pt idx="5">
                  <c:v>Dia 6 (Quinta)</c:v>
                </c:pt>
                <c:pt idx="6">
                  <c:v>Dia 7 (Sexta)</c:v>
                </c:pt>
              </c:strCache>
            </c:strRef>
          </c:cat>
          <c:val>
            <c:numRef>
              <c:f>tabela_chuva!$M$2:$M$8</c:f>
              <c:numCache>
                <c:formatCode>#\C\º</c:formatCode>
                <c:ptCount val="7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24</c:v>
                </c:pt>
                <c:pt idx="4">
                  <c:v>20</c:v>
                </c:pt>
                <c:pt idx="5">
                  <c:v>18</c:v>
                </c:pt>
                <c:pt idx="6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805-41BC-9AF1-C0C50AFEF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433648"/>
        <c:axId val="113733168"/>
      </c:lineChart>
      <c:catAx>
        <c:axId val="570433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Semanas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33168"/>
        <c:crosses val="autoZero"/>
        <c:auto val="1"/>
        <c:lblAlgn val="ctr"/>
        <c:lblOffset val="100"/>
        <c:noMultiLvlLbl val="0"/>
      </c:catAx>
      <c:valAx>
        <c:axId val="113733168"/>
        <c:scaling>
          <c:orientation val="minMax"/>
          <c:max val="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Chuva</a:t>
                </a:r>
                <a:r>
                  <a:rPr lang="en-US" baseline="0"/>
                  <a:t> (mm)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3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Temperatura</a:t>
            </a:r>
            <a:r>
              <a:rPr lang="en-US" baseline="0"/>
              <a:t> máxima da semana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Temperatura máxima (Cº)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tabela_chuva!$S$13:$S$19</c:f>
              <c:strCache>
                <c:ptCount val="7"/>
                <c:pt idx="0">
                  <c:v>Dia 1 (Sábado)</c:v>
                </c:pt>
                <c:pt idx="1">
                  <c:v>Dia 2 (Domingo)</c:v>
                </c:pt>
                <c:pt idx="2">
                  <c:v>Dia 3 (Segunda)</c:v>
                </c:pt>
                <c:pt idx="3">
                  <c:v>Dia 4 (Terça)</c:v>
                </c:pt>
                <c:pt idx="4">
                  <c:v>Dia 5 (Quarta)</c:v>
                </c:pt>
                <c:pt idx="5">
                  <c:v>Dia 6 (Quinta)</c:v>
                </c:pt>
                <c:pt idx="6">
                  <c:v>Dia 7 (Sexta)</c:v>
                </c:pt>
              </c:strCache>
            </c:strRef>
          </c:cat>
          <c:val>
            <c:numRef>
              <c:f>tabela_chuva!$AB$2:$AB$8</c:f>
              <c:numCache>
                <c:formatCode>#\C\º</c:formatCode>
                <c:ptCount val="7"/>
                <c:pt idx="0">
                  <c:v>22</c:v>
                </c:pt>
                <c:pt idx="1">
                  <c:v>26</c:v>
                </c:pt>
                <c:pt idx="2">
                  <c:v>28</c:v>
                </c:pt>
                <c:pt idx="3">
                  <c:v>32</c:v>
                </c:pt>
                <c:pt idx="4">
                  <c:v>23</c:v>
                </c:pt>
                <c:pt idx="5">
                  <c:v>20</c:v>
                </c:pt>
                <c:pt idx="6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6-43B4-A054-F26FD91E5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181392"/>
        <c:axId val="750292696"/>
      </c:radarChart>
      <c:catAx>
        <c:axId val="58318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292696"/>
        <c:crosses val="autoZero"/>
        <c:auto val="1"/>
        <c:lblAlgn val="ctr"/>
        <c:lblOffset val="100"/>
        <c:noMultiLvlLbl val="0"/>
      </c:catAx>
      <c:valAx>
        <c:axId val="750292696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rgbClr val="7030A0"/>
              </a:solidFill>
              <a:round/>
            </a:ln>
            <a:effectLst/>
          </c:spPr>
        </c:majorGridlines>
        <c:numFmt formatCode="#\C\º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8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Temperatura</a:t>
            </a:r>
            <a:r>
              <a:rPr lang="en-US" baseline="0"/>
              <a:t> mínima da semana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1"/>
          <c:order val="0"/>
          <c:tx>
            <c:v>Temperatura mínima (Cº)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70C0"/>
              </a:solidFill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tabela_chuva!$S$13:$S$19</c:f>
              <c:strCache>
                <c:ptCount val="7"/>
                <c:pt idx="0">
                  <c:v>Dia 1 (Sábado)</c:v>
                </c:pt>
                <c:pt idx="1">
                  <c:v>Dia 2 (Domingo)</c:v>
                </c:pt>
                <c:pt idx="2">
                  <c:v>Dia 3 (Segunda)</c:v>
                </c:pt>
                <c:pt idx="3">
                  <c:v>Dia 4 (Terça)</c:v>
                </c:pt>
                <c:pt idx="4">
                  <c:v>Dia 5 (Quarta)</c:v>
                </c:pt>
                <c:pt idx="5">
                  <c:v>Dia 6 (Quinta)</c:v>
                </c:pt>
                <c:pt idx="6">
                  <c:v>Dia 7 (Sexta)</c:v>
                </c:pt>
              </c:strCache>
            </c:strRef>
          </c:cat>
          <c:val>
            <c:numRef>
              <c:f>tabela_chuva!$AC$2:$AC$8</c:f>
              <c:numCache>
                <c:formatCode>#\C\º</c:formatCode>
                <c:ptCount val="7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24</c:v>
                </c:pt>
                <c:pt idx="4">
                  <c:v>20</c:v>
                </c:pt>
                <c:pt idx="5">
                  <c:v>18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66-4635-BEC7-B5CD106D6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181392"/>
        <c:axId val="750292696"/>
      </c:radarChart>
      <c:catAx>
        <c:axId val="58318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292696"/>
        <c:crosses val="autoZero"/>
        <c:auto val="1"/>
        <c:lblAlgn val="ctr"/>
        <c:lblOffset val="100"/>
        <c:noMultiLvlLbl val="0"/>
      </c:catAx>
      <c:valAx>
        <c:axId val="750292696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rgbClr val="7030A0"/>
              </a:solidFill>
              <a:round/>
            </a:ln>
            <a:effectLst/>
          </c:spPr>
        </c:majorGridlines>
        <c:numFmt formatCode="#\C\º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8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Climograma</a:t>
            </a:r>
            <a:r>
              <a:rPr lang="en-US" baseline="0"/>
              <a:t> Santos - SP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Chuva (mm)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tabela_chuva!$A$2:$A$10</c:f>
              <c:strCache>
                <c:ptCount val="9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  <c:pt idx="6">
                  <c:v>Semana 7</c:v>
                </c:pt>
                <c:pt idx="7">
                  <c:v>Semana 8</c:v>
                </c:pt>
                <c:pt idx="8">
                  <c:v>Semana 9</c:v>
                </c:pt>
              </c:strCache>
            </c:strRef>
          </c:cat>
          <c:val>
            <c:numRef>
              <c:f>tabela_chuva!$I$2:$I$10</c:f>
              <c:numCache>
                <c:formatCode>0.00</c:formatCode>
                <c:ptCount val="9"/>
                <c:pt idx="0">
                  <c:v>12.857142857142858</c:v>
                </c:pt>
                <c:pt idx="1">
                  <c:v>7.1428571428571432</c:v>
                </c:pt>
                <c:pt idx="2">
                  <c:v>4.2857142857142856</c:v>
                </c:pt>
                <c:pt idx="3">
                  <c:v>12.142857142857142</c:v>
                </c:pt>
                <c:pt idx="4">
                  <c:v>0.2857142857142857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C-445D-89F0-99C5565F84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570433648"/>
        <c:axId val="113733168"/>
      </c:barChart>
      <c:lineChart>
        <c:grouping val="standard"/>
        <c:varyColors val="0"/>
        <c:ser>
          <c:idx val="1"/>
          <c:order val="1"/>
          <c:tx>
            <c:v>Temperatura (Cº)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rgbClr val="FF0000"/>
                  </a:gs>
                </a:gsLst>
                <a:lin ang="5400000" scaled="1"/>
              </a:gradFill>
              <a:ln>
                <a:noFill/>
              </a:ln>
              <a:effectLst/>
            </c:spPr>
          </c:marker>
          <c:dLbls>
            <c:numFmt formatCode="#,##0" sourceLinked="0"/>
            <c:spPr>
              <a:solidFill>
                <a:srgbClr val="D67F00"/>
              </a:solidFill>
              <a:ln>
                <a:noFill/>
              </a:ln>
              <a:effectLst>
                <a:softEdge rad="127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tabela_media!$I$2:$I$10</c:f>
              <c:numCache>
                <c:formatCode>0</c:formatCode>
                <c:ptCount val="9"/>
                <c:pt idx="0">
                  <c:v>20</c:v>
                </c:pt>
                <c:pt idx="1">
                  <c:v>23</c:v>
                </c:pt>
                <c:pt idx="2">
                  <c:v>25</c:v>
                </c:pt>
                <c:pt idx="3">
                  <c:v>21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DEC-445D-89F0-99C5565F8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01632"/>
        <c:axId val="765599008"/>
      </c:lineChart>
      <c:catAx>
        <c:axId val="570433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Semanas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33168"/>
        <c:crosses val="autoZero"/>
        <c:auto val="1"/>
        <c:lblAlgn val="ctr"/>
        <c:lblOffset val="100"/>
        <c:noMultiLvlLbl val="0"/>
      </c:catAx>
      <c:valAx>
        <c:axId val="11373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Chuva</a:t>
                </a:r>
                <a:r>
                  <a:rPr lang="en-US" baseline="0"/>
                  <a:t> (mm)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33648"/>
        <c:crosses val="autoZero"/>
        <c:crossBetween val="between"/>
      </c:valAx>
      <c:valAx>
        <c:axId val="7655990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</a:t>
                </a:r>
                <a:r>
                  <a:rPr lang="en-US" baseline="0"/>
                  <a:t> (Cº)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01632"/>
        <c:crosses val="max"/>
        <c:crossBetween val="between"/>
      </c:valAx>
      <c:catAx>
        <c:axId val="765601632"/>
        <c:scaling>
          <c:orientation val="minMax"/>
        </c:scaling>
        <c:delete val="1"/>
        <c:axPos val="b"/>
        <c:majorTickMark val="out"/>
        <c:minorTickMark val="none"/>
        <c:tickLblPos val="nextTo"/>
        <c:crossAx val="765599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_xlchart.v2.1</cx:f>
      </cx:strDim>
      <cx:numDim type="val">
        <cx:f>_xlchart.v2.0</cx:f>
      </cx:numDim>
    </cx:data>
  </cx:chartData>
  <cx:chart>
    <cx:title pos="t" align="ctr" overlay="0">
      <cx:tx>
        <cx:txData>
          <cx:v>Dia mais quente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r>
            <a:rPr lang="en-US"/>
            <a:t>Dia mais quente</a:t>
          </a:r>
        </a:p>
      </cx:txPr>
    </cx:title>
    <cx:plotArea>
      <cx:plotAreaRegion>
        <cx:series layoutId="funnel" uniqueId="{6EE95EF1-31F7-4E7D-AC14-EE6E402CDDCE}">
          <cx:spPr>
            <a:gradFill>
              <a:gsLst>
                <a:gs pos="0">
                  <a:srgbClr val="FF0000"/>
                </a:gs>
                <a:gs pos="100000">
                  <a:srgbClr val="0070C0"/>
                </a:gs>
              </a:gsLst>
              <a:lin ang="5400000" scaled="1"/>
            </a:gra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endParaRPr lang="pt-BR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rgbClr val="FF0000"/>
                </a:solidFill>
                <a:effectLst>
                  <a:reflection blurRad="6350" stA="55000" endA="300" endPos="45500" dir="5400000" sy="-100000" algn="bl" rotWithShape="0"/>
                </a:effectLst>
              </a:defRPr>
            </a:pPr>
            <a:endParaRPr lang="pt-BR" sz="900" b="0" i="0" u="none" strike="noStrike" baseline="0">
              <a:solidFill>
                <a:srgbClr val="FF0000"/>
              </a:solidFill>
              <a:effectLst>
                <a:reflection blurRad="6350" stA="55000" endA="300" endPos="45500" dir="5400000" sy="-100000" algn="bl" rotWithShape="0"/>
              </a:effectLst>
              <a:latin typeface="Calibri" panose="020F0502020204030204"/>
            </a:endParaRPr>
          </a:p>
        </cx:txPr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checked="Checked" firstButton="1" fmlaLink="tabela_chuva!D14" lockText="1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7" Type="http://schemas.openxmlformats.org/officeDocument/2006/relationships/chart" Target="../charts/chart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3</xdr:row>
      <xdr:rowOff>18717</xdr:rowOff>
    </xdr:from>
    <xdr:to>
      <xdr:col>10</xdr:col>
      <xdr:colOff>594360</xdr:colOff>
      <xdr:row>20</xdr:row>
      <xdr:rowOff>153357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0960" y="567357"/>
          <a:ext cx="6629400" cy="3243600"/>
        </a:xfrm>
        <a:prstGeom prst="roundRect">
          <a:avLst>
            <a:gd name="adj" fmla="val 8439"/>
          </a:avLst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228600</xdr:colOff>
      <xdr:row>3</xdr:row>
      <xdr:rowOff>101278</xdr:rowOff>
    </xdr:from>
    <xdr:to>
      <xdr:col>10</xdr:col>
      <xdr:colOff>426720</xdr:colOff>
      <xdr:row>20</xdr:row>
      <xdr:rowOff>70797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49199</xdr:colOff>
      <xdr:row>3</xdr:row>
      <xdr:rowOff>18717</xdr:rowOff>
    </xdr:from>
    <xdr:to>
      <xdr:col>23</xdr:col>
      <xdr:colOff>352107</xdr:colOff>
      <xdr:row>20</xdr:row>
      <xdr:rowOff>153357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754799" y="567357"/>
          <a:ext cx="7618108" cy="3243600"/>
        </a:xfrm>
        <a:prstGeom prst="roundRect">
          <a:avLst>
            <a:gd name="adj" fmla="val 8439"/>
          </a:avLst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213360</xdr:colOff>
      <xdr:row>3</xdr:row>
      <xdr:rowOff>78417</xdr:rowOff>
    </xdr:from>
    <xdr:to>
      <xdr:col>23</xdr:col>
      <xdr:colOff>193674</xdr:colOff>
      <xdr:row>20</xdr:row>
      <xdr:rowOff>93657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443547</xdr:colOff>
      <xdr:row>21</xdr:row>
      <xdr:rowOff>30013</xdr:rowOff>
    </xdr:from>
    <xdr:to>
      <xdr:col>23</xdr:col>
      <xdr:colOff>352107</xdr:colOff>
      <xdr:row>38</xdr:row>
      <xdr:rowOff>162728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1416347" y="3870493"/>
          <a:ext cx="2956560" cy="3241675"/>
        </a:xfrm>
        <a:prstGeom prst="roundRect">
          <a:avLst>
            <a:gd name="adj" fmla="val 8439"/>
          </a:avLst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3174</xdr:colOff>
      <xdr:row>21</xdr:row>
      <xdr:rowOff>108998</xdr:rowOff>
    </xdr:from>
    <xdr:to>
      <xdr:col>23</xdr:col>
      <xdr:colOff>182880</xdr:colOff>
      <xdr:row>38</xdr:row>
      <xdr:rowOff>83742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9" name="Gráfico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85574" y="3949478"/>
              <a:ext cx="2618106" cy="30837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11</xdr:col>
      <xdr:colOff>298767</xdr:colOff>
      <xdr:row>21</xdr:row>
      <xdr:rowOff>29050</xdr:rowOff>
    </xdr:from>
    <xdr:to>
      <xdr:col>18</xdr:col>
      <xdr:colOff>381000</xdr:colOff>
      <xdr:row>38</xdr:row>
      <xdr:rowOff>163690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7004367" y="3869530"/>
          <a:ext cx="4349433" cy="3243600"/>
        </a:xfrm>
        <a:prstGeom prst="roundRect">
          <a:avLst>
            <a:gd name="adj" fmla="val 8439"/>
          </a:avLst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416083</xdr:colOff>
      <xdr:row>21</xdr:row>
      <xdr:rowOff>156060</xdr:rowOff>
    </xdr:from>
    <xdr:to>
      <xdr:col>18</xdr:col>
      <xdr:colOff>263683</xdr:colOff>
      <xdr:row>38</xdr:row>
      <xdr:rowOff>36681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155278</xdr:colOff>
      <xdr:row>18</xdr:row>
      <xdr:rowOff>97419</xdr:rowOff>
    </xdr:from>
    <xdr:to>
      <xdr:col>10</xdr:col>
      <xdr:colOff>515278</xdr:colOff>
      <xdr:row>20</xdr:row>
      <xdr:rowOff>91659</xdr:rowOff>
    </xdr:to>
    <xdr:pic macro="[0]!go_to_climogramaSantosSP">
      <xdr:nvPicPr>
        <xdr:cNvPr id="13" name="Gráfico 12" descr="Mover com preenchimento sólido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2700000">
          <a:off x="6251278" y="3389259"/>
          <a:ext cx="360000" cy="360000"/>
        </a:xfrm>
        <a:prstGeom prst="rect">
          <a:avLst/>
        </a:prstGeom>
      </xdr:spPr>
    </xdr:pic>
    <xdr:clientData/>
  </xdr:twoCellAnchor>
  <xdr:twoCellAnchor>
    <xdr:from>
      <xdr:col>4</xdr:col>
      <xdr:colOff>153987</xdr:colOff>
      <xdr:row>21</xdr:row>
      <xdr:rowOff>29050</xdr:rowOff>
    </xdr:from>
    <xdr:to>
      <xdr:col>11</xdr:col>
      <xdr:colOff>236220</xdr:colOff>
      <xdr:row>38</xdr:row>
      <xdr:rowOff>163690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2592387" y="3869530"/>
          <a:ext cx="4349433" cy="3243600"/>
        </a:xfrm>
        <a:prstGeom prst="roundRect">
          <a:avLst>
            <a:gd name="adj" fmla="val 8439"/>
          </a:avLst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91440</xdr:rowOff>
        </xdr:from>
        <xdr:to>
          <xdr:col>20</xdr:col>
          <xdr:colOff>152400</xdr:colOff>
          <xdr:row>2</xdr:row>
          <xdr:rowOff>99060</xdr:rowOff>
        </xdr:to>
        <xdr:sp macro="" textlink="">
          <xdr:nvSpPr>
            <xdr:cNvPr id="9223" name="Group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5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Caixa de grupo 7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271303</xdr:colOff>
      <xdr:row>21</xdr:row>
      <xdr:rowOff>151965</xdr:rowOff>
    </xdr:from>
    <xdr:to>
      <xdr:col>11</xdr:col>
      <xdr:colOff>118903</xdr:colOff>
      <xdr:row>38</xdr:row>
      <xdr:rowOff>40776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56818</xdr:colOff>
      <xdr:row>0</xdr:row>
      <xdr:rowOff>72057</xdr:rowOff>
    </xdr:from>
    <xdr:to>
      <xdr:col>23</xdr:col>
      <xdr:colOff>358140</xdr:colOff>
      <xdr:row>2</xdr:row>
      <xdr:rowOff>137160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56818" y="72057"/>
          <a:ext cx="14322122" cy="430863"/>
        </a:xfrm>
        <a:prstGeom prst="roundRect">
          <a:avLst>
            <a:gd name="adj" fmla="val 40095"/>
          </a:avLst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312420</xdr:colOff>
      <xdr:row>0</xdr:row>
      <xdr:rowOff>144780</xdr:rowOff>
    </xdr:from>
    <xdr:to>
      <xdr:col>21</xdr:col>
      <xdr:colOff>449580</xdr:colOff>
      <xdr:row>1</xdr:row>
      <xdr:rowOff>181500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504420" y="144780"/>
          <a:ext cx="746760" cy="219600"/>
        </a:xfrm>
        <a:prstGeom prst="roundRect">
          <a:avLst>
            <a:gd name="adj" fmla="val 37487"/>
          </a:avLst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>
              <a:noFill/>
            </a:ln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0</xdr:row>
          <xdr:rowOff>144780</xdr:rowOff>
        </xdr:from>
        <xdr:to>
          <xdr:col>22</xdr:col>
          <xdr:colOff>556260</xdr:colOff>
          <xdr:row>2</xdr:row>
          <xdr:rowOff>0</xdr:rowOff>
        </xdr:to>
        <xdr:sp macro="" textlink="">
          <xdr:nvSpPr>
            <xdr:cNvPr id="9217" name="ComboBox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297180</xdr:colOff>
      <xdr:row>0</xdr:row>
      <xdr:rowOff>144780</xdr:rowOff>
    </xdr:from>
    <xdr:to>
      <xdr:col>2</xdr:col>
      <xdr:colOff>365760</xdr:colOff>
      <xdr:row>2</xdr:row>
      <xdr:rowOff>76200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297180" y="144780"/>
          <a:ext cx="1287780" cy="297180"/>
          <a:chOff x="1303020" y="152400"/>
          <a:chExt cx="1287780" cy="297180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1303020" y="152400"/>
            <a:ext cx="1287780" cy="29718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>
            <a:solidFill>
              <a:srgbClr val="7030A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9222" name="Option Button 6" hidden="1">
                    <a:extLst>
                      <a:ext uri="{63B3BB69-23CF-44E3-9099-C40C66FF867C}">
                        <a14:compatExt spid="_x0000_s9222"/>
                      </a:ext>
                      <a:ext uri="{FF2B5EF4-FFF2-40B4-BE49-F238E27FC236}">
                        <a16:creationId xmlns:a16="http://schemas.microsoft.com/office/drawing/2014/main" id="{00000000-0008-0000-0500-000006240000}"/>
                      </a:ext>
                    </a:extLst>
                  </xdr:cNvPr>
                  <xdr:cNvSpPr/>
                </xdr:nvSpPr>
                <xdr:spPr bwMode="auto">
                  <a:xfrm>
                    <a:off x="1383030" y="179070"/>
                    <a:ext cx="1127760" cy="2438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Segoe UI"/>
                        <a:cs typeface="Segoe UI"/>
                      </a:rPr>
                      <a:t>Semana 1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</xdr:grpSp>
    <xdr:clientData/>
  </xdr:twoCellAnchor>
  <xdr:twoCellAnchor>
    <xdr:from>
      <xdr:col>2</xdr:col>
      <xdr:colOff>419100</xdr:colOff>
      <xdr:row>0</xdr:row>
      <xdr:rowOff>160020</xdr:rowOff>
    </xdr:from>
    <xdr:to>
      <xdr:col>4</xdr:col>
      <xdr:colOff>487680</xdr:colOff>
      <xdr:row>2</xdr:row>
      <xdr:rowOff>91440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1638300" y="160020"/>
          <a:ext cx="1287780" cy="297180"/>
          <a:chOff x="1303020" y="152400"/>
          <a:chExt cx="1287780" cy="297180"/>
        </a:xfrm>
      </xdr:grpSpPr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>
            <a:off x="1303020" y="152400"/>
            <a:ext cx="1287780" cy="29718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>
            <a:solidFill>
              <a:srgbClr val="7030A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9224" name="Option Button 8" hidden="1">
                    <a:extLst>
                      <a:ext uri="{63B3BB69-23CF-44E3-9099-C40C66FF867C}">
                        <a14:compatExt spid="_x0000_s9224"/>
                      </a:ext>
                      <a:ext uri="{FF2B5EF4-FFF2-40B4-BE49-F238E27FC236}">
                        <a16:creationId xmlns:a16="http://schemas.microsoft.com/office/drawing/2014/main" id="{00000000-0008-0000-0500-000008240000}"/>
                      </a:ext>
                    </a:extLst>
                  </xdr:cNvPr>
                  <xdr:cNvSpPr/>
                </xdr:nvSpPr>
                <xdr:spPr bwMode="auto">
                  <a:xfrm>
                    <a:off x="1383030" y="179070"/>
                    <a:ext cx="1127760" cy="2438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Segoe UI"/>
                        <a:cs typeface="Segoe UI"/>
                      </a:rPr>
                      <a:t>Semana 2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175260</xdr:colOff>
      <xdr:row>1</xdr:row>
      <xdr:rowOff>156022</xdr:rowOff>
    </xdr:from>
    <xdr:to>
      <xdr:col>22</xdr:col>
      <xdr:colOff>419100</xdr:colOff>
      <xdr:row>37</xdr:row>
      <xdr:rowOff>65908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784860" y="338902"/>
          <a:ext cx="13045440" cy="6493566"/>
        </a:xfrm>
        <a:prstGeom prst="roundRect">
          <a:avLst>
            <a:gd name="adj" fmla="val 5975"/>
          </a:avLst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289560</xdr:colOff>
      <xdr:row>2</xdr:row>
      <xdr:rowOff>144780</xdr:rowOff>
    </xdr:from>
    <xdr:to>
      <xdr:col>22</xdr:col>
      <xdr:colOff>251460</xdr:colOff>
      <xdr:row>36</xdr:row>
      <xdr:rowOff>38100</xdr:rowOff>
    </xdr:to>
    <xdr:graphicFrame macro="">
      <xdr:nvGraphicFramePr>
        <xdr:cNvPr id="2" name="Gráfico 18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396240</xdr:colOff>
      <xdr:row>2</xdr:row>
      <xdr:rowOff>160020</xdr:rowOff>
    </xdr:from>
    <xdr:to>
      <xdr:col>22</xdr:col>
      <xdr:colOff>146640</xdr:colOff>
      <xdr:row>4</xdr:row>
      <xdr:rowOff>154260</xdr:rowOff>
    </xdr:to>
    <xdr:pic macro="[0]!go_to_dashboard">
      <xdr:nvPicPr>
        <xdr:cNvPr id="5" name="Gráfico 4" descr="Círculo com seta para a esquerda com preenchimento sólid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197840" y="52578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137160</xdr:colOff>
          <xdr:row>2</xdr:row>
          <xdr:rowOff>38100</xdr:rowOff>
        </xdr:from>
        <xdr:to>
          <xdr:col>7</xdr:col>
          <xdr:colOff>1051560</xdr:colOff>
          <xdr:row>7</xdr:row>
          <xdr:rowOff>76200</xdr:rowOff>
        </xdr:to>
        <xdr:sp macro="" textlink="">
          <xdr:nvSpPr>
            <xdr:cNvPr id="1032" name="novos_dados_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7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137160</xdr:colOff>
          <xdr:row>0</xdr:row>
          <xdr:rowOff>106680</xdr:rowOff>
        </xdr:from>
        <xdr:to>
          <xdr:col>7</xdr:col>
          <xdr:colOff>1051560</xdr:colOff>
          <xdr:row>1</xdr:row>
          <xdr:rowOff>160020</xdr:rowOff>
        </xdr:to>
        <xdr:sp macro="" textlink="">
          <xdr:nvSpPr>
            <xdr:cNvPr id="1034" name="button_transpo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7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5B426A45-2D89-4D00-80FF-510F9A8EAD62}" autoFormatId="16" applyNumberFormats="0" applyBorderFormats="0" applyFontFormats="0" applyPatternFormats="0" applyAlignmentFormats="0" applyWidthHeightFormats="0">
  <queryTableRefresh nextId="6">
    <queryTableFields count="4">
      <queryTableField id="1" name="Chuva (mm)" tableColumnId="1"/>
      <queryTableField id="3" name="Temperatura mímima (Cº)" tableColumnId="3"/>
      <queryTableField id="2" name="Temperatura máxima (Cº)" tableColumnId="2"/>
      <queryTableField id="4" name="Temperatura média (Cº)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08A18F-5969-4767-B0FE-0430BCE73CD8}" name="tabela_query" displayName="tabela_query" ref="A1:D31" tableType="queryTable" totalsRowShown="0">
  <autoFilter ref="A1:D31" xr:uid="{DA08A18F-5969-4767-B0FE-0430BCE73CD8}"/>
  <tableColumns count="4">
    <tableColumn id="1" xr3:uid="{31BA30A6-FC1B-4094-B122-23FFFA5479EB}" uniqueName="1" name="Chuva (mm)" queryTableFieldId="1"/>
    <tableColumn id="3" xr3:uid="{6274E2C7-835F-491D-82A9-756014D1E1E6}" uniqueName="3" name="Temperatura mímima (Cº)" queryTableFieldId="3"/>
    <tableColumn id="2" xr3:uid="{45933EC8-ADDA-46EB-8943-DAA26F86F96A}" uniqueName="2" name="Temperatura máxima (Cº)" queryTableFieldId="2"/>
    <tableColumn id="4" xr3:uid="{D59EA1F6-B3BA-48CE-B9D8-52709374DA52}" uniqueName="4" name="Temperatura média (Cº)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0AE019-D8C2-4617-B7D5-99F3B3DAAF16}" name="tabela_media" displayName="tabela_media" ref="A1:I10" totalsRowShown="0" headerRowDxfId="53" dataDxfId="52">
  <autoFilter ref="A1:I10" xr:uid="{6C0AE019-D8C2-4617-B7D5-99F3B3DAAF16}"/>
  <tableColumns count="9">
    <tableColumn id="1" xr3:uid="{1DF05785-31E1-4E36-9585-0BA018976A14}" name="Semana" dataDxfId="51"/>
    <tableColumn id="2" xr3:uid="{6D94455C-6348-4D29-8CAD-FCD701E048CB}" name="Dia 1" dataDxfId="50"/>
    <tableColumn id="3" xr3:uid="{80422C6E-439F-4974-9550-A1BCD4925F58}" name="Dia 2" dataDxfId="49"/>
    <tableColumn id="4" xr3:uid="{825499B8-2C73-4026-92EE-9A4861F84B39}" name="Dia 3" dataDxfId="48"/>
    <tableColumn id="5" xr3:uid="{504B5E72-3D6E-4D36-805D-8046F230F240}" name="Dia 4" dataDxfId="47"/>
    <tableColumn id="6" xr3:uid="{446892C5-2D60-424B-ACD4-0DC21139B710}" name="Dia 5" dataDxfId="46"/>
    <tableColumn id="7" xr3:uid="{183EB189-81C3-4EAD-96F2-F29AE41D9375}" name="Dia 6" dataDxfId="45"/>
    <tableColumn id="8" xr3:uid="{08680E62-0B03-430C-BFD3-97384AEFCB8B}" name="Dia 7" dataDxfId="44"/>
    <tableColumn id="9" xr3:uid="{EEFD9490-AFB1-4DC7-BAE8-63D9EE095872}" name="Média" dataDxfId="43">
      <calculatedColumnFormula>ROUND(AVERAGE(tabela_media[[#This Row],[Dia 1]:[Dia 7]]),0)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5D10CD-7B17-4B58-85FC-25FA18F2DBF7}" name="tabela_chuva" displayName="tabela_chuva" ref="A1:I10" totalsRowShown="0" headerRowDxfId="42" dataDxfId="41">
  <autoFilter ref="A1:I10" xr:uid="{A45D10CD-7B17-4B58-85FC-25FA18F2DBF7}"/>
  <tableColumns count="9">
    <tableColumn id="1" xr3:uid="{1DF4C3FE-2A5C-4535-9C5D-CA51E9DAE3C9}" name="Semana" dataDxfId="40"/>
    <tableColumn id="2" xr3:uid="{6F94FB45-B711-484B-BC01-4D401F28BEC0}" name="Dia 1" dataDxfId="39"/>
    <tableColumn id="3" xr3:uid="{9F0BDB59-14FD-4F4A-85DF-29BC8C4A6152}" name="Dia 2" dataDxfId="38"/>
    <tableColumn id="4" xr3:uid="{8CB9EA72-9CE2-4108-B231-763F0DB5E852}" name="Dia 3" dataDxfId="37"/>
    <tableColumn id="5" xr3:uid="{BD7B5719-B04F-4F82-87C4-8F5698FF3C78}" name="Dia 4" dataDxfId="36"/>
    <tableColumn id="6" xr3:uid="{1FBF846D-F29A-43D0-9218-F4460B11D501}" name="Dia 5" dataDxfId="35"/>
    <tableColumn id="7" xr3:uid="{19970160-DB2B-4AD0-8304-AF024332E952}" name="Dia 6" dataDxfId="34"/>
    <tableColumn id="8" xr3:uid="{AA84949D-BEAB-450C-BB20-DCB0D6994534}" name="Dia 7" dataDxfId="33"/>
    <tableColumn id="9" xr3:uid="{198C254E-04B3-4158-9E43-1F42B3857384}" name="Média" dataDxfId="32">
      <calculatedColumnFormula>AVERAGE(tabela_chuva[[#This Row],[Dia 1]:[Dia 7]])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66034F-207D-4C3E-BC5D-6DCC61251D75}" name="tabela_maxima" displayName="tabela_maxima" ref="A1:I10" totalsRowShown="0" headerRowDxfId="31" dataDxfId="30">
  <autoFilter ref="A1:I10" xr:uid="{4F66034F-207D-4C3E-BC5D-6DCC61251D75}"/>
  <tableColumns count="9">
    <tableColumn id="1" xr3:uid="{1F797DFA-05D6-4286-B82B-3CDD423E293B}" name="Semana" dataDxfId="29"/>
    <tableColumn id="2" xr3:uid="{DACC863B-F8D9-44FB-A6A0-60DA8BA72EE1}" name="Dia 1" dataDxfId="28"/>
    <tableColumn id="3" xr3:uid="{BAC38E72-1D9D-4C12-882D-C76B4F11EF5E}" name="Dia 2" dataDxfId="27"/>
    <tableColumn id="4" xr3:uid="{8DC79F45-D9A9-4996-8B39-BF6813C132D7}" name="Dia 3" dataDxfId="26"/>
    <tableColumn id="5" xr3:uid="{90BA2592-1B85-4633-9B99-33D0D58BC7B1}" name="Dia 4" dataDxfId="25"/>
    <tableColumn id="6" xr3:uid="{3EF5B4C3-20DA-4CA8-A63B-FEA31B9D3FAA}" name="Dia 5" dataDxfId="24"/>
    <tableColumn id="7" xr3:uid="{522E33D7-D4A2-4269-8CC6-017A39395C27}" name="Dia 6" dataDxfId="23"/>
    <tableColumn id="8" xr3:uid="{D844CD09-79E6-4BC4-A8C9-465776DB0C53}" name="Dia 7" dataDxfId="22"/>
    <tableColumn id="9" xr3:uid="{ADDA2636-8F20-4383-B886-EDB017E88520}" name="Média" dataDxfId="21">
      <calculatedColumnFormula>AVERAGE(tabela_maxima[[#This Row],[Dia 1]:[Dia 7]])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3FE4E3-905B-40CB-BD7A-F5A7D3ADBFA9}" name="tabela_minima" displayName="tabela_minima" ref="A1:I10" totalsRowShown="0" headerRowDxfId="20" dataDxfId="19">
  <autoFilter ref="A1:I10" xr:uid="{B23FE4E3-905B-40CB-BD7A-F5A7D3ADBFA9}"/>
  <tableColumns count="9">
    <tableColumn id="1" xr3:uid="{31B3A2CD-31B0-401E-A253-215094503C84}" name="Semana" dataDxfId="18"/>
    <tableColumn id="2" xr3:uid="{81E0B492-4DF8-4245-9A16-C868CB1DA08E}" name="Dia 1" dataDxfId="17"/>
    <tableColumn id="3" xr3:uid="{620181A6-1968-44DA-8D79-36C5C935A503}" name="Dia 2" dataDxfId="16"/>
    <tableColumn id="4" xr3:uid="{A55B372C-1FEC-43DB-8A7F-32047CE9C445}" name="Dia 3" dataDxfId="15"/>
    <tableColumn id="5" xr3:uid="{B99EDFFB-FBBD-4F87-9007-35C8EA3B4596}" name="Dia 4" dataDxfId="14"/>
    <tableColumn id="6" xr3:uid="{CD5DDB25-5F79-4C8C-8239-1E07745762B5}" name="Dia 5" dataDxfId="13"/>
    <tableColumn id="7" xr3:uid="{533C3FC9-8422-45D0-96A4-9357BE7EBF24}" name="Dia 6" dataDxfId="12"/>
    <tableColumn id="8" xr3:uid="{0F77AC84-FDC5-47F5-B4C6-0A69826C4CAD}" name="Dia 7" dataDxfId="11"/>
    <tableColumn id="9" xr3:uid="{D42009CD-71F3-45C4-8BCC-8C28C517B410}" name="Média" dataDxfId="10">
      <calculatedColumnFormula>AVERAGE(tabela_minima[[#This Row],[Dia 1]:[Dia 7]])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35E146-5E16-4087-A6C8-C66C6099525E}" name="Tabela1" displayName="Tabela1" ref="A1:G31" totalsRowShown="0" headerRowDxfId="9" dataDxfId="8">
  <autoFilter ref="A1:G31" xr:uid="{B235E146-5E16-4087-A6C8-C66C6099525E}"/>
  <sortState xmlns:xlrd2="http://schemas.microsoft.com/office/spreadsheetml/2017/richdata2" ref="A2:G15">
    <sortCondition ref="A1:A15"/>
  </sortState>
  <tableColumns count="7">
    <tableColumn id="1" xr3:uid="{34578553-125E-4E2A-9304-AA5ADD47FCDB}" name="Dia" dataDxfId="7"/>
    <tableColumn id="2" xr3:uid="{8920F97E-822B-4FAF-81AF-5D6D68D6A624}" name="Chuva (mm)" dataDxfId="6"/>
    <tableColumn id="4" xr3:uid="{A6DE3A83-370A-4B7D-9908-4B85E8FB6FAA}" name="Temperatura mímima (Cº)" dataDxfId="5"/>
    <tableColumn id="3" xr3:uid="{5B937EAB-822A-477F-9184-DAD2A61E7C91}" name="Temperatura máxima (Cº)" dataDxfId="4"/>
    <tableColumn id="7" xr3:uid="{3015DC0A-F720-441B-804C-936D2FBB1115}" name="Temperatura média (Cº)" dataDxfId="3">
      <calculatedColumnFormula>ROUND(AVERAGE(Tabela1[[#This Row],[Temperatura máxima (Cº)]],Tabela1[[#This Row],[Temperatura mímima (Cº)]]),0)</calculatedColumnFormula>
    </tableColumn>
    <tableColumn id="5" xr3:uid="{8D54ADD0-24CD-4079-9746-860053B1C6AC}" name="Data" dataDxfId="2">
      <calculatedColumnFormula>VLOOKUP(Tabela1[[#This Row],[Dia]],Fonte!A2:B61,2,FALSE)</calculatedColumnFormula>
    </tableColumn>
    <tableColumn id="6" xr3:uid="{81A1152E-2802-4629-A894-49FF4927AF20}" name="Data de registro" dataDxf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A991ED-BB3F-4F21-AE46-D8104AD8BA90}" name="Tabela2" displayName="Tabela2" ref="A1:B61" totalsRowShown="0">
  <autoFilter ref="A1:B61" xr:uid="{7FA991ED-BB3F-4F21-AE46-D8104AD8BA90}"/>
  <tableColumns count="2">
    <tableColumn id="1" xr3:uid="{41B63074-28A2-422F-8852-5FEC7CCF890B}" name="Dia"/>
    <tableColumn id="2" xr3:uid="{CC1EE166-B271-4540-95F6-C012F2F28864}" name="Dat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28078-5266-41C8-880C-EBF21D22F190}">
  <sheetPr codeName="Planilha4"/>
  <dimension ref="A1:F31"/>
  <sheetViews>
    <sheetView workbookViewId="0">
      <selection activeCell="K19" sqref="K19"/>
    </sheetView>
  </sheetViews>
  <sheetFormatPr defaultRowHeight="14.4" x14ac:dyDescent="0.3"/>
  <cols>
    <col min="1" max="1" width="13.6640625" bestFit="1" customWidth="1"/>
    <col min="2" max="2" width="25.5546875" bestFit="1" customWidth="1"/>
    <col min="3" max="3" width="25.33203125" bestFit="1" customWidth="1"/>
    <col min="4" max="4" width="23.88671875" bestFit="1" customWidth="1"/>
  </cols>
  <sheetData>
    <row r="1" spans="1:6" x14ac:dyDescent="0.3">
      <c r="A1" t="s">
        <v>1</v>
      </c>
      <c r="B1" t="s">
        <v>3</v>
      </c>
      <c r="C1" t="s">
        <v>2</v>
      </c>
      <c r="D1" t="s">
        <v>6</v>
      </c>
      <c r="F1" t="s">
        <v>7</v>
      </c>
    </row>
    <row r="2" spans="1:6" x14ac:dyDescent="0.3">
      <c r="A2">
        <v>0</v>
      </c>
      <c r="B2">
        <v>16</v>
      </c>
      <c r="C2">
        <v>22</v>
      </c>
      <c r="D2">
        <v>19</v>
      </c>
      <c r="F2" t="s">
        <v>8</v>
      </c>
    </row>
    <row r="3" spans="1:6" x14ac:dyDescent="0.3">
      <c r="A3">
        <v>0</v>
      </c>
      <c r="B3">
        <v>16</v>
      </c>
      <c r="C3">
        <v>26</v>
      </c>
      <c r="D3">
        <v>21</v>
      </c>
      <c r="F3" t="s">
        <v>9</v>
      </c>
    </row>
    <row r="4" spans="1:6" x14ac:dyDescent="0.3">
      <c r="A4">
        <v>0</v>
      </c>
      <c r="B4">
        <v>16</v>
      </c>
      <c r="C4">
        <v>28</v>
      </c>
      <c r="D4">
        <v>22</v>
      </c>
      <c r="F4" t="s">
        <v>10</v>
      </c>
    </row>
    <row r="5" spans="1:6" x14ac:dyDescent="0.3">
      <c r="A5">
        <v>0</v>
      </c>
      <c r="B5">
        <v>16</v>
      </c>
      <c r="C5">
        <v>32</v>
      </c>
      <c r="D5">
        <v>24</v>
      </c>
      <c r="F5" t="s">
        <v>11</v>
      </c>
    </row>
    <row r="6" spans="1:6" x14ac:dyDescent="0.3">
      <c r="A6">
        <v>15</v>
      </c>
      <c r="B6">
        <v>16</v>
      </c>
      <c r="C6">
        <v>23</v>
      </c>
      <c r="D6">
        <v>20</v>
      </c>
      <c r="F6" t="s">
        <v>12</v>
      </c>
    </row>
    <row r="7" spans="1:6" x14ac:dyDescent="0.3">
      <c r="A7">
        <v>40</v>
      </c>
      <c r="B7">
        <v>16</v>
      </c>
      <c r="C7">
        <v>20</v>
      </c>
      <c r="D7">
        <v>18</v>
      </c>
      <c r="F7" t="s">
        <v>13</v>
      </c>
    </row>
    <row r="8" spans="1:6" x14ac:dyDescent="0.3">
      <c r="A8">
        <v>35</v>
      </c>
      <c r="B8">
        <v>16</v>
      </c>
      <c r="C8">
        <v>22</v>
      </c>
      <c r="D8">
        <v>19</v>
      </c>
      <c r="F8" t="s">
        <v>14</v>
      </c>
    </row>
    <row r="9" spans="1:6" collapsed="1" x14ac:dyDescent="0.3">
      <c r="A9">
        <v>20</v>
      </c>
      <c r="B9">
        <v>16</v>
      </c>
      <c r="C9">
        <v>25</v>
      </c>
      <c r="D9">
        <v>21</v>
      </c>
      <c r="F9" t="s">
        <v>15</v>
      </c>
    </row>
    <row r="10" spans="1:6" x14ac:dyDescent="0.3">
      <c r="A10">
        <v>10</v>
      </c>
      <c r="B10">
        <v>18</v>
      </c>
      <c r="C10">
        <v>28</v>
      </c>
      <c r="D10">
        <v>23</v>
      </c>
      <c r="F10" t="s">
        <v>16</v>
      </c>
    </row>
    <row r="11" spans="1:6" x14ac:dyDescent="0.3">
      <c r="A11">
        <v>20</v>
      </c>
      <c r="B11">
        <v>19</v>
      </c>
      <c r="C11">
        <v>24</v>
      </c>
      <c r="D11">
        <v>22</v>
      </c>
    </row>
    <row r="12" spans="1:6" x14ac:dyDescent="0.3">
      <c r="A12">
        <v>0</v>
      </c>
      <c r="B12">
        <v>18</v>
      </c>
      <c r="C12">
        <v>26</v>
      </c>
      <c r="D12">
        <v>22</v>
      </c>
    </row>
    <row r="13" spans="1:6" x14ac:dyDescent="0.3">
      <c r="A13">
        <v>0</v>
      </c>
      <c r="B13">
        <v>27</v>
      </c>
      <c r="C13">
        <v>18</v>
      </c>
      <c r="D13">
        <v>23</v>
      </c>
    </row>
    <row r="14" spans="1:6" x14ac:dyDescent="0.3">
      <c r="A14">
        <v>0</v>
      </c>
      <c r="B14">
        <v>19</v>
      </c>
      <c r="C14">
        <v>27</v>
      </c>
      <c r="D14">
        <v>23</v>
      </c>
    </row>
    <row r="15" spans="1:6" x14ac:dyDescent="0.3">
      <c r="A15">
        <v>0</v>
      </c>
      <c r="B15">
        <v>21</v>
      </c>
      <c r="C15">
        <v>33</v>
      </c>
      <c r="D15">
        <v>27</v>
      </c>
    </row>
    <row r="16" spans="1:6" x14ac:dyDescent="0.3">
      <c r="A16">
        <v>0</v>
      </c>
      <c r="B16">
        <v>20</v>
      </c>
      <c r="C16">
        <v>24</v>
      </c>
      <c r="D16">
        <v>22</v>
      </c>
    </row>
    <row r="17" spans="1:4" x14ac:dyDescent="0.3">
      <c r="A17">
        <v>0</v>
      </c>
      <c r="B17">
        <v>20</v>
      </c>
      <c r="C17">
        <v>28</v>
      </c>
      <c r="D17">
        <v>24</v>
      </c>
    </row>
    <row r="18" spans="1:4" x14ac:dyDescent="0.3">
      <c r="A18">
        <v>0</v>
      </c>
      <c r="B18">
        <v>21</v>
      </c>
      <c r="C18">
        <v>34</v>
      </c>
      <c r="D18">
        <v>28</v>
      </c>
    </row>
    <row r="19" spans="1:4" x14ac:dyDescent="0.3">
      <c r="A19">
        <v>0</v>
      </c>
      <c r="B19">
        <v>22</v>
      </c>
      <c r="C19">
        <v>32</v>
      </c>
      <c r="D19">
        <v>27</v>
      </c>
    </row>
    <row r="20" spans="1:4" x14ac:dyDescent="0.3">
      <c r="A20">
        <v>0</v>
      </c>
      <c r="B20">
        <v>23</v>
      </c>
      <c r="C20">
        <v>37</v>
      </c>
      <c r="D20">
        <v>30</v>
      </c>
    </row>
    <row r="21" spans="1:4" x14ac:dyDescent="0.3">
      <c r="A21">
        <v>5</v>
      </c>
      <c r="B21">
        <v>20</v>
      </c>
      <c r="C21">
        <v>33</v>
      </c>
      <c r="D21">
        <v>27</v>
      </c>
    </row>
    <row r="22" spans="1:4" x14ac:dyDescent="0.3">
      <c r="A22">
        <v>25</v>
      </c>
      <c r="B22">
        <v>18</v>
      </c>
      <c r="C22">
        <v>22</v>
      </c>
      <c r="D22">
        <v>20</v>
      </c>
    </row>
    <row r="23" spans="1:4" x14ac:dyDescent="0.3">
      <c r="A23">
        <v>35</v>
      </c>
      <c r="B23">
        <v>16</v>
      </c>
      <c r="C23">
        <v>22</v>
      </c>
      <c r="D23">
        <v>19</v>
      </c>
    </row>
    <row r="24" spans="1:4" x14ac:dyDescent="0.3">
      <c r="A24">
        <v>30</v>
      </c>
      <c r="B24">
        <v>17</v>
      </c>
      <c r="C24">
        <v>22</v>
      </c>
      <c r="D24">
        <v>20</v>
      </c>
    </row>
    <row r="25" spans="1:4" x14ac:dyDescent="0.3">
      <c r="A25">
        <v>15</v>
      </c>
      <c r="B25">
        <v>17</v>
      </c>
      <c r="C25">
        <v>22</v>
      </c>
      <c r="D25">
        <v>20</v>
      </c>
    </row>
    <row r="26" spans="1:4" x14ac:dyDescent="0.3">
      <c r="A26">
        <v>5</v>
      </c>
      <c r="B26">
        <v>16</v>
      </c>
      <c r="C26">
        <v>24</v>
      </c>
      <c r="D26">
        <v>20</v>
      </c>
    </row>
    <row r="27" spans="1:4" x14ac:dyDescent="0.3">
      <c r="A27">
        <v>0</v>
      </c>
      <c r="B27">
        <v>18</v>
      </c>
      <c r="C27">
        <v>28</v>
      </c>
      <c r="D27">
        <v>23</v>
      </c>
    </row>
    <row r="28" spans="1:4" x14ac:dyDescent="0.3">
      <c r="A28">
        <v>0</v>
      </c>
      <c r="B28">
        <v>18</v>
      </c>
      <c r="C28">
        <v>27</v>
      </c>
      <c r="D28">
        <v>23</v>
      </c>
    </row>
    <row r="29" spans="1:4" x14ac:dyDescent="0.3">
      <c r="A29">
        <v>0</v>
      </c>
      <c r="B29">
        <v>19</v>
      </c>
      <c r="C29">
        <v>27</v>
      </c>
      <c r="D29">
        <v>23</v>
      </c>
    </row>
    <row r="30" spans="1:4" x14ac:dyDescent="0.3">
      <c r="A30">
        <v>0</v>
      </c>
      <c r="B30">
        <v>18</v>
      </c>
      <c r="C30">
        <v>28</v>
      </c>
      <c r="D30">
        <v>23</v>
      </c>
    </row>
    <row r="31" spans="1:4" x14ac:dyDescent="0.3">
      <c r="A31">
        <v>2</v>
      </c>
      <c r="B31">
        <v>20</v>
      </c>
      <c r="C31">
        <v>25</v>
      </c>
      <c r="D31">
        <v>23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34D3F-23D1-4827-9594-E4928F0F6BF6}">
  <sheetPr codeName="Planilha6"/>
  <dimension ref="A1:I10"/>
  <sheetViews>
    <sheetView workbookViewId="0">
      <selection activeCell="I25" sqref="I25"/>
    </sheetView>
  </sheetViews>
  <sheetFormatPr defaultRowHeight="14.4" x14ac:dyDescent="0.3"/>
  <cols>
    <col min="1" max="1" width="12.21875" style="12" bestFit="1" customWidth="1"/>
    <col min="2" max="8" width="9.5546875" style="11" bestFit="1" customWidth="1"/>
    <col min="9" max="9" width="10.77734375" bestFit="1" customWidth="1"/>
  </cols>
  <sheetData>
    <row r="1" spans="1:9" x14ac:dyDescent="0.3">
      <c r="A1" s="13" t="s">
        <v>7</v>
      </c>
      <c r="B1" s="14" t="s">
        <v>17</v>
      </c>
      <c r="C1" s="14" t="s">
        <v>18</v>
      </c>
      <c r="D1" s="14" t="s">
        <v>19</v>
      </c>
      <c r="E1" s="14" t="s">
        <v>20</v>
      </c>
      <c r="F1" s="14" t="s">
        <v>21</v>
      </c>
      <c r="G1" s="14" t="s">
        <v>22</v>
      </c>
      <c r="H1" s="14" t="s">
        <v>23</v>
      </c>
      <c r="I1" s="15" t="s">
        <v>24</v>
      </c>
    </row>
    <row r="2" spans="1:9" x14ac:dyDescent="0.3">
      <c r="A2" s="13" t="s">
        <v>8</v>
      </c>
      <c r="B2" s="17">
        <v>19</v>
      </c>
      <c r="C2" s="17">
        <v>21</v>
      </c>
      <c r="D2" s="17">
        <v>22</v>
      </c>
      <c r="E2" s="17">
        <v>24</v>
      </c>
      <c r="F2" s="17">
        <v>20</v>
      </c>
      <c r="G2" s="17">
        <v>18</v>
      </c>
      <c r="H2" s="17">
        <v>19</v>
      </c>
      <c r="I2" s="17">
        <f>ROUND(AVERAGE(tabela_media[[#This Row],[Dia 1]:[Dia 7]]),0)</f>
        <v>20</v>
      </c>
    </row>
    <row r="3" spans="1:9" x14ac:dyDescent="0.3">
      <c r="A3" s="13" t="s">
        <v>9</v>
      </c>
      <c r="B3" s="17">
        <v>21</v>
      </c>
      <c r="C3" s="17">
        <v>23</v>
      </c>
      <c r="D3" s="17">
        <v>22</v>
      </c>
      <c r="E3" s="17">
        <v>22</v>
      </c>
      <c r="F3" s="17">
        <v>23</v>
      </c>
      <c r="G3" s="17">
        <v>23</v>
      </c>
      <c r="H3" s="17">
        <v>27</v>
      </c>
      <c r="I3" s="17">
        <f>ROUND(AVERAGE(tabela_media[[#This Row],[Dia 1]:[Dia 7]]),0)</f>
        <v>23</v>
      </c>
    </row>
    <row r="4" spans="1:9" x14ac:dyDescent="0.3">
      <c r="A4" s="13" t="s">
        <v>10</v>
      </c>
      <c r="B4" s="17">
        <v>22</v>
      </c>
      <c r="C4" s="17">
        <v>24</v>
      </c>
      <c r="D4" s="17">
        <v>28</v>
      </c>
      <c r="E4" s="17">
        <v>27</v>
      </c>
      <c r="F4" s="17">
        <v>30</v>
      </c>
      <c r="G4" s="17">
        <v>27</v>
      </c>
      <c r="H4" s="17">
        <v>20</v>
      </c>
      <c r="I4" s="17">
        <f>ROUND(AVERAGE(tabela_media[[#This Row],[Dia 1]:[Dia 7]]),0)</f>
        <v>25</v>
      </c>
    </row>
    <row r="5" spans="1:9" x14ac:dyDescent="0.3">
      <c r="A5" s="13" t="s">
        <v>11</v>
      </c>
      <c r="B5" s="17">
        <v>19</v>
      </c>
      <c r="C5" s="17">
        <v>20</v>
      </c>
      <c r="D5" s="17">
        <v>20</v>
      </c>
      <c r="E5" s="17">
        <v>20</v>
      </c>
      <c r="F5" s="17">
        <v>23</v>
      </c>
      <c r="G5" s="17">
        <v>23</v>
      </c>
      <c r="H5" s="17">
        <v>23</v>
      </c>
      <c r="I5" s="17">
        <f>ROUND(AVERAGE(tabela_media[[#This Row],[Dia 1]:[Dia 7]]),0)</f>
        <v>21</v>
      </c>
    </row>
    <row r="6" spans="1:9" x14ac:dyDescent="0.3">
      <c r="A6" s="13" t="s">
        <v>12</v>
      </c>
      <c r="B6" s="17">
        <v>23</v>
      </c>
      <c r="C6" s="17">
        <v>23</v>
      </c>
      <c r="D6" s="17">
        <v>0</v>
      </c>
      <c r="E6" s="17">
        <v>0</v>
      </c>
      <c r="F6" s="17">
        <v>0</v>
      </c>
      <c r="G6" s="17">
        <v>0</v>
      </c>
      <c r="H6" s="17">
        <v>0</v>
      </c>
      <c r="I6" s="17">
        <f>ROUND(AVERAGE(tabela_media[[#This Row],[Dia 1]:[Dia 7]]),0)</f>
        <v>7</v>
      </c>
    </row>
    <row r="7" spans="1:9" x14ac:dyDescent="0.3">
      <c r="A7" s="13" t="s">
        <v>13</v>
      </c>
      <c r="B7" s="17">
        <v>0</v>
      </c>
      <c r="C7" s="17">
        <v>0</v>
      </c>
      <c r="D7" s="17">
        <v>0</v>
      </c>
      <c r="E7" s="17">
        <v>0</v>
      </c>
      <c r="F7" s="17">
        <v>0</v>
      </c>
      <c r="G7" s="17">
        <v>0</v>
      </c>
      <c r="H7" s="17">
        <v>0</v>
      </c>
      <c r="I7" s="17">
        <f>ROUND(AVERAGE(tabela_media[[#This Row],[Dia 1]:[Dia 7]]),0)</f>
        <v>0</v>
      </c>
    </row>
    <row r="8" spans="1:9" x14ac:dyDescent="0.3">
      <c r="A8" s="13" t="s">
        <v>14</v>
      </c>
      <c r="B8" s="17">
        <v>0</v>
      </c>
      <c r="C8" s="17">
        <v>0</v>
      </c>
      <c r="D8" s="17">
        <v>0</v>
      </c>
      <c r="E8" s="17">
        <v>0</v>
      </c>
      <c r="F8" s="17">
        <v>0</v>
      </c>
      <c r="G8" s="17">
        <v>0</v>
      </c>
      <c r="H8" s="17">
        <v>0</v>
      </c>
      <c r="I8" s="17">
        <f>ROUND(AVERAGE(tabela_media[[#This Row],[Dia 1]:[Dia 7]]),0)</f>
        <v>0</v>
      </c>
    </row>
    <row r="9" spans="1:9" x14ac:dyDescent="0.3">
      <c r="A9" s="13" t="s">
        <v>15</v>
      </c>
      <c r="B9" s="17">
        <v>0</v>
      </c>
      <c r="C9" s="17">
        <v>0</v>
      </c>
      <c r="D9" s="17">
        <v>0</v>
      </c>
      <c r="E9" s="17">
        <v>0</v>
      </c>
      <c r="F9" s="17">
        <v>0</v>
      </c>
      <c r="G9" s="17">
        <v>0</v>
      </c>
      <c r="H9" s="17">
        <v>0</v>
      </c>
      <c r="I9" s="17">
        <f>ROUND(AVERAGE(tabela_media[[#This Row],[Dia 1]:[Dia 7]]),0)</f>
        <v>0</v>
      </c>
    </row>
    <row r="10" spans="1:9" x14ac:dyDescent="0.3">
      <c r="A10" s="13" t="s">
        <v>16</v>
      </c>
      <c r="B10" s="17">
        <v>0</v>
      </c>
      <c r="C10" s="17">
        <v>0</v>
      </c>
      <c r="D10" s="17">
        <v>0</v>
      </c>
      <c r="E10" s="17">
        <v>0</v>
      </c>
      <c r="F10" s="17">
        <v>0</v>
      </c>
      <c r="G10" s="17">
        <v>0</v>
      </c>
      <c r="H10" s="17">
        <v>0</v>
      </c>
      <c r="I10" s="17">
        <f>ROUND(AVERAGE(tabela_media[[#This Row],[Dia 1]:[Dia 7]]),0)</f>
        <v>0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06F3-505E-41E4-BDD5-8521A5C6ABE3}">
  <sheetPr codeName="Planilha5"/>
  <dimension ref="A1:AC19"/>
  <sheetViews>
    <sheetView workbookViewId="0">
      <selection activeCell="B15" sqref="B15"/>
    </sheetView>
  </sheetViews>
  <sheetFormatPr defaultRowHeight="14.4" x14ac:dyDescent="0.3"/>
  <cols>
    <col min="1" max="1" width="12.21875" bestFit="1" customWidth="1"/>
    <col min="2" max="2" width="11.77734375" bestFit="1" customWidth="1"/>
    <col min="3" max="8" width="9.5546875" bestFit="1" customWidth="1"/>
    <col min="9" max="9" width="10.77734375" bestFit="1" customWidth="1"/>
    <col min="13" max="13" width="11" bestFit="1" customWidth="1"/>
    <col min="15" max="15" width="14.109375" bestFit="1" customWidth="1"/>
    <col min="17" max="17" width="12.21875" bestFit="1" customWidth="1"/>
    <col min="18" max="19" width="14.109375" bestFit="1" customWidth="1"/>
    <col min="24" max="24" width="10.6640625" bestFit="1" customWidth="1"/>
    <col min="25" max="25" width="16.88671875" bestFit="1" customWidth="1"/>
  </cols>
  <sheetData>
    <row r="1" spans="1:29" x14ac:dyDescent="0.3">
      <c r="A1" s="13" t="s">
        <v>7</v>
      </c>
      <c r="B1" s="14" t="s">
        <v>17</v>
      </c>
      <c r="C1" s="14" t="s">
        <v>18</v>
      </c>
      <c r="D1" s="14" t="s">
        <v>19</v>
      </c>
      <c r="E1" s="14" t="s">
        <v>20</v>
      </c>
      <c r="F1" s="14" t="s">
        <v>21</v>
      </c>
      <c r="G1" s="14" t="s">
        <v>22</v>
      </c>
      <c r="H1" s="14" t="s">
        <v>23</v>
      </c>
      <c r="I1" s="15" t="s">
        <v>24</v>
      </c>
      <c r="K1" t="s">
        <v>26</v>
      </c>
      <c r="L1" t="s">
        <v>27</v>
      </c>
      <c r="M1" t="s">
        <v>28</v>
      </c>
    </row>
    <row r="2" spans="1:29" x14ac:dyDescent="0.3">
      <c r="A2" s="13" t="s">
        <v>8</v>
      </c>
      <c r="B2" s="14">
        <v>0</v>
      </c>
      <c r="C2" s="14">
        <v>0</v>
      </c>
      <c r="D2" s="14">
        <v>0</v>
      </c>
      <c r="E2" s="14">
        <v>0</v>
      </c>
      <c r="F2" s="14">
        <v>15</v>
      </c>
      <c r="G2" s="14">
        <v>40</v>
      </c>
      <c r="H2" s="14">
        <v>35</v>
      </c>
      <c r="I2" s="14">
        <f>AVERAGE(tabela_chuva[[#This Row],[Dia 1]:[Dia 7]])</f>
        <v>12.857142857142858</v>
      </c>
      <c r="K2" t="s">
        <v>17</v>
      </c>
      <c r="L2" s="19">
        <f>VLOOKUP($B$14,tabela_chuva[],2,FALSE)</f>
        <v>0</v>
      </c>
      <c r="M2" s="18">
        <f>VLOOKUP($B$14,tabela_media[],2,FALSE)</f>
        <v>19</v>
      </c>
      <c r="O2">
        <f>COUNTIF($Q$2:Q2,Q2)</f>
        <v>1</v>
      </c>
      <c r="P2" t="str">
        <f>_xlfn.CONCAT(Q2,O2)</f>
        <v>191</v>
      </c>
      <c r="Q2">
        <f>VLOOKUP($B$14,tabela_media[],2,FALSE)</f>
        <v>19</v>
      </c>
      <c r="R2" t="s">
        <v>17</v>
      </c>
      <c r="T2">
        <f>COUNTIF($W$2:W2,W2)</f>
        <v>1</v>
      </c>
      <c r="U2" t="str">
        <f>_xlfn.CONCAT(W2,T2)</f>
        <v>241</v>
      </c>
      <c r="V2">
        <v>1</v>
      </c>
      <c r="W2" s="18">
        <f t="shared" ref="W2:W8" si="0">LARGE($M$2:$M$8,V2)</f>
        <v>24</v>
      </c>
      <c r="X2" t="str">
        <f t="shared" ref="X2:X8" si="1">VLOOKUP(U2,$P$2:$R$8,3,FALSE)</f>
        <v>Dia 4</v>
      </c>
      <c r="Y2" t="str">
        <f>_xlfn.CONCAT(X2," (",(VLOOKUP(X2,$P$13:$Q$19,2,FALSE)),")")</f>
        <v>Dia 4 (Terça)</v>
      </c>
      <c r="AA2" t="s">
        <v>17</v>
      </c>
      <c r="AB2" s="18">
        <f>VLOOKUP($B$14,tabela_minima[],2,FALSE)</f>
        <v>22</v>
      </c>
      <c r="AC2" s="18">
        <f>VLOOKUP($B$14,tabela_maxima[],2,FALSE)</f>
        <v>19</v>
      </c>
    </row>
    <row r="3" spans="1:29" x14ac:dyDescent="0.3">
      <c r="A3" s="13" t="s">
        <v>9</v>
      </c>
      <c r="B3" s="14">
        <v>20</v>
      </c>
      <c r="C3" s="14">
        <v>10</v>
      </c>
      <c r="D3" s="14">
        <v>20</v>
      </c>
      <c r="E3" s="14">
        <v>0</v>
      </c>
      <c r="F3" s="14">
        <v>0</v>
      </c>
      <c r="G3" s="14">
        <v>0</v>
      </c>
      <c r="H3" s="14">
        <v>0</v>
      </c>
      <c r="I3" s="14">
        <f>AVERAGE(tabela_chuva[[#This Row],[Dia 1]:[Dia 7]])</f>
        <v>7.1428571428571432</v>
      </c>
      <c r="K3" t="s">
        <v>18</v>
      </c>
      <c r="L3" s="19">
        <f>VLOOKUP($B$14,tabela_chuva[],3,FALSE)</f>
        <v>0</v>
      </c>
      <c r="M3" s="18">
        <f>VLOOKUP($B$14,tabela_media[],3,FALSE)</f>
        <v>21</v>
      </c>
      <c r="O3">
        <f>COUNTIF($Q$2:Q3,Q3)</f>
        <v>1</v>
      </c>
      <c r="P3" t="str">
        <f t="shared" ref="P3:P8" si="2">_xlfn.CONCAT(Q3,O3)</f>
        <v>211</v>
      </c>
      <c r="Q3">
        <f>VLOOKUP($B$14,tabela_media[],3,FALSE)</f>
        <v>21</v>
      </c>
      <c r="R3" t="s">
        <v>18</v>
      </c>
      <c r="T3">
        <f>COUNTIF($W$2:W3,W3)</f>
        <v>1</v>
      </c>
      <c r="U3" t="str">
        <f t="shared" ref="U3:U8" si="3">_xlfn.CONCAT(W3,T3)</f>
        <v>221</v>
      </c>
      <c r="V3">
        <v>2</v>
      </c>
      <c r="W3" s="18">
        <f t="shared" si="0"/>
        <v>22</v>
      </c>
      <c r="X3" t="str">
        <f t="shared" si="1"/>
        <v>Dia 3</v>
      </c>
      <c r="Y3" t="str">
        <f t="shared" ref="Y3:Y8" si="4">_xlfn.CONCAT(X3," (",(VLOOKUP(X3,$P$13:$Q$19,2,FALSE)),")")</f>
        <v>Dia 3 (Segunda)</v>
      </c>
      <c r="AA3" t="s">
        <v>18</v>
      </c>
      <c r="AB3" s="18">
        <f>VLOOKUP($B$14,tabela_minima[],3,FALSE)</f>
        <v>26</v>
      </c>
      <c r="AC3" s="18">
        <f>VLOOKUP($B$14,tabela_maxima[],3,FALSE)</f>
        <v>21</v>
      </c>
    </row>
    <row r="4" spans="1:29" x14ac:dyDescent="0.3">
      <c r="A4" s="13" t="s">
        <v>10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  <c r="G4" s="14">
        <v>5</v>
      </c>
      <c r="H4" s="14">
        <v>25</v>
      </c>
      <c r="I4" s="14">
        <f>AVERAGE(tabela_chuva[[#This Row],[Dia 1]:[Dia 7]])</f>
        <v>4.2857142857142856</v>
      </c>
      <c r="K4" t="s">
        <v>19</v>
      </c>
      <c r="L4" s="19">
        <f>VLOOKUP($B$14,tabela_chuva[],4,FALSE)</f>
        <v>0</v>
      </c>
      <c r="M4" s="18">
        <f>VLOOKUP($B$14,tabela_media[],4,FALSE)</f>
        <v>22</v>
      </c>
      <c r="O4">
        <f>COUNTIF($Q$2:Q4,Q4)</f>
        <v>1</v>
      </c>
      <c r="P4" t="str">
        <f t="shared" si="2"/>
        <v>221</v>
      </c>
      <c r="Q4">
        <f>VLOOKUP($B$14,tabela_media[],4,FALSE)</f>
        <v>22</v>
      </c>
      <c r="R4" t="s">
        <v>19</v>
      </c>
      <c r="T4">
        <f>COUNTIF($W$2:W4,W4)</f>
        <v>1</v>
      </c>
      <c r="U4" t="str">
        <f t="shared" si="3"/>
        <v>211</v>
      </c>
      <c r="V4">
        <v>3</v>
      </c>
      <c r="W4" s="18">
        <f t="shared" si="0"/>
        <v>21</v>
      </c>
      <c r="X4" t="str">
        <f t="shared" si="1"/>
        <v>Dia 2</v>
      </c>
      <c r="Y4" t="str">
        <f t="shared" si="4"/>
        <v>Dia 2 (Domingo)</v>
      </c>
      <c r="AA4" t="s">
        <v>19</v>
      </c>
      <c r="AB4" s="18">
        <f>VLOOKUP($B$14,tabela_minima[],4,FALSE)</f>
        <v>28</v>
      </c>
      <c r="AC4" s="18">
        <f>VLOOKUP($B$14,tabela_maxima[],4,FALSE)</f>
        <v>22</v>
      </c>
    </row>
    <row r="5" spans="1:29" x14ac:dyDescent="0.3">
      <c r="A5" s="13" t="s">
        <v>11</v>
      </c>
      <c r="B5" s="14">
        <v>35</v>
      </c>
      <c r="C5" s="14">
        <v>30</v>
      </c>
      <c r="D5" s="14">
        <v>15</v>
      </c>
      <c r="E5" s="14">
        <v>5</v>
      </c>
      <c r="F5" s="14">
        <v>0</v>
      </c>
      <c r="G5" s="14">
        <v>0</v>
      </c>
      <c r="H5" s="14">
        <v>0</v>
      </c>
      <c r="I5" s="14">
        <f>AVERAGE(tabela_chuva[[#This Row],[Dia 1]:[Dia 7]])</f>
        <v>12.142857142857142</v>
      </c>
      <c r="K5" t="s">
        <v>20</v>
      </c>
      <c r="L5" s="19">
        <f>VLOOKUP($B$14,tabela_chuva[],5,FALSE)</f>
        <v>0</v>
      </c>
      <c r="M5" s="18">
        <f>VLOOKUP($B$14,tabela_media[],5,FALSE)</f>
        <v>24</v>
      </c>
      <c r="O5">
        <f>COUNTIF($Q$2:Q5,Q5)</f>
        <v>1</v>
      </c>
      <c r="P5" t="str">
        <f t="shared" si="2"/>
        <v>241</v>
      </c>
      <c r="Q5">
        <f>VLOOKUP($B$14,tabela_media[],5,FALSE)</f>
        <v>24</v>
      </c>
      <c r="R5" t="s">
        <v>20</v>
      </c>
      <c r="T5">
        <f>COUNTIF($W$2:W5,W5)</f>
        <v>1</v>
      </c>
      <c r="U5" t="str">
        <f t="shared" si="3"/>
        <v>201</v>
      </c>
      <c r="V5">
        <v>4</v>
      </c>
      <c r="W5" s="18">
        <f t="shared" si="0"/>
        <v>20</v>
      </c>
      <c r="X5" t="str">
        <f t="shared" si="1"/>
        <v>Dia 5</v>
      </c>
      <c r="Y5" t="str">
        <f t="shared" si="4"/>
        <v>Dia 5 (Quarta)</v>
      </c>
      <c r="AA5" t="s">
        <v>20</v>
      </c>
      <c r="AB5" s="18">
        <f>VLOOKUP($B$14,tabela_minima[],5,FALSE)</f>
        <v>32</v>
      </c>
      <c r="AC5" s="18">
        <f>VLOOKUP($B$14,tabela_maxima[],5,FALSE)</f>
        <v>24</v>
      </c>
    </row>
    <row r="6" spans="1:29" x14ac:dyDescent="0.3">
      <c r="A6" s="13" t="s">
        <v>12</v>
      </c>
      <c r="B6" s="14">
        <v>0</v>
      </c>
      <c r="C6" s="14">
        <v>2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f>AVERAGE(tabela_chuva[[#This Row],[Dia 1]:[Dia 7]])</f>
        <v>0.2857142857142857</v>
      </c>
      <c r="K6" t="s">
        <v>21</v>
      </c>
      <c r="L6" s="19">
        <f>VLOOKUP($B$14,tabela_chuva[],6,FALSE)</f>
        <v>15</v>
      </c>
      <c r="M6" s="18">
        <f>VLOOKUP($B$14,tabela_media[],6,FALSE)</f>
        <v>20</v>
      </c>
      <c r="O6">
        <f>COUNTIF($Q$2:Q6,Q6)</f>
        <v>1</v>
      </c>
      <c r="P6" t="str">
        <f t="shared" si="2"/>
        <v>201</v>
      </c>
      <c r="Q6">
        <f>VLOOKUP($B$14,tabela_media[],6,FALSE)</f>
        <v>20</v>
      </c>
      <c r="R6" t="s">
        <v>21</v>
      </c>
      <c r="T6">
        <f>COUNTIF($W$2:W6,W6)</f>
        <v>1</v>
      </c>
      <c r="U6" t="str">
        <f t="shared" si="3"/>
        <v>191</v>
      </c>
      <c r="V6">
        <v>5</v>
      </c>
      <c r="W6" s="18">
        <f t="shared" si="0"/>
        <v>19</v>
      </c>
      <c r="X6" t="str">
        <f t="shared" si="1"/>
        <v>Dia 1</v>
      </c>
      <c r="Y6" t="str">
        <f t="shared" si="4"/>
        <v>Dia 1 (Sábado)</v>
      </c>
      <c r="AA6" t="s">
        <v>21</v>
      </c>
      <c r="AB6" s="18">
        <f>VLOOKUP($B$14,tabela_minima[],6,FALSE)</f>
        <v>23</v>
      </c>
      <c r="AC6" s="18">
        <f>VLOOKUP($B$14,tabela_maxima[],6,FALSE)</f>
        <v>20</v>
      </c>
    </row>
    <row r="7" spans="1:29" x14ac:dyDescent="0.3">
      <c r="A7" s="13" t="s">
        <v>13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f>AVERAGE(tabela_chuva[[#This Row],[Dia 1]:[Dia 7]])</f>
        <v>0</v>
      </c>
      <c r="K7" t="s">
        <v>22</v>
      </c>
      <c r="L7" s="19">
        <f>VLOOKUP($B$14,tabela_chuva[],7,FALSE)</f>
        <v>40</v>
      </c>
      <c r="M7" s="18">
        <f>VLOOKUP($B$14,tabela_media[],7,FALSE)</f>
        <v>18</v>
      </c>
      <c r="O7">
        <f>COUNTIF($Q$2:Q7,Q7)</f>
        <v>1</v>
      </c>
      <c r="P7" t="str">
        <f t="shared" si="2"/>
        <v>181</v>
      </c>
      <c r="Q7">
        <f>VLOOKUP($B$14,tabela_media[],7,FALSE)</f>
        <v>18</v>
      </c>
      <c r="R7" t="s">
        <v>22</v>
      </c>
      <c r="T7">
        <f>COUNTIF($W$2:W7,W7)</f>
        <v>2</v>
      </c>
      <c r="U7" t="str">
        <f t="shared" si="3"/>
        <v>192</v>
      </c>
      <c r="V7">
        <v>6</v>
      </c>
      <c r="W7" s="18">
        <f t="shared" si="0"/>
        <v>19</v>
      </c>
      <c r="X7" t="str">
        <f t="shared" si="1"/>
        <v>Dia 7</v>
      </c>
      <c r="Y7" t="str">
        <f t="shared" si="4"/>
        <v>Dia 7 (Sexta)</v>
      </c>
      <c r="AA7" t="s">
        <v>22</v>
      </c>
      <c r="AB7" s="18">
        <f>VLOOKUP($B$14,tabela_minima[],7,FALSE)</f>
        <v>20</v>
      </c>
      <c r="AC7" s="18">
        <f>VLOOKUP($B$14,tabela_maxima[],7,FALSE)</f>
        <v>18</v>
      </c>
    </row>
    <row r="8" spans="1:29" x14ac:dyDescent="0.3">
      <c r="A8" s="13" t="s">
        <v>14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f>AVERAGE(tabela_chuva[[#This Row],[Dia 1]:[Dia 7]])</f>
        <v>0</v>
      </c>
      <c r="K8" t="s">
        <v>23</v>
      </c>
      <c r="L8" s="19">
        <f>VLOOKUP($B$14,tabela_chuva[],8,FALSE)</f>
        <v>35</v>
      </c>
      <c r="M8" s="18">
        <f>VLOOKUP($B$14,tabela_media[],8,FALSE)</f>
        <v>19</v>
      </c>
      <c r="O8">
        <f>COUNTIF($Q$2:Q8,Q8)</f>
        <v>2</v>
      </c>
      <c r="P8" t="str">
        <f t="shared" si="2"/>
        <v>192</v>
      </c>
      <c r="Q8">
        <f>VLOOKUP($B$14,tabela_media[],8,FALSE)</f>
        <v>19</v>
      </c>
      <c r="R8" t="s">
        <v>23</v>
      </c>
      <c r="T8">
        <f>COUNTIF($W$2:W8,W8)</f>
        <v>1</v>
      </c>
      <c r="U8" t="str">
        <f t="shared" si="3"/>
        <v>181</v>
      </c>
      <c r="V8">
        <v>7</v>
      </c>
      <c r="W8" s="18">
        <f t="shared" si="0"/>
        <v>18</v>
      </c>
      <c r="X8" t="str">
        <f t="shared" si="1"/>
        <v>Dia 6</v>
      </c>
      <c r="Y8" t="str">
        <f t="shared" si="4"/>
        <v>Dia 6 (Quinta)</v>
      </c>
      <c r="AA8" t="s">
        <v>23</v>
      </c>
      <c r="AB8" s="18">
        <f>VLOOKUP($B$14,tabela_minima[],8,FALSE)</f>
        <v>22</v>
      </c>
      <c r="AC8" s="18">
        <f>VLOOKUP($B$14,tabela_maxima[],8,FALSE)</f>
        <v>19</v>
      </c>
    </row>
    <row r="9" spans="1:29" x14ac:dyDescent="0.3">
      <c r="A9" s="13" t="s">
        <v>15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f>AVERAGE(tabela_chuva[[#This Row],[Dia 1]:[Dia 7]])</f>
        <v>0</v>
      </c>
    </row>
    <row r="10" spans="1:29" x14ac:dyDescent="0.3">
      <c r="A10" s="13" t="s">
        <v>16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f>AVERAGE(tabela_chuva[[#This Row],[Dia 1]:[Dia 7]])</f>
        <v>0</v>
      </c>
    </row>
    <row r="13" spans="1:29" x14ac:dyDescent="0.3">
      <c r="P13" t="s">
        <v>17</v>
      </c>
      <c r="Q13" t="s">
        <v>29</v>
      </c>
      <c r="S13" t="str">
        <f>_xlfn.CONCAT(P13," (",(VLOOKUP(P13,$P$13:$Q$19,2,FALSE)),")")</f>
        <v>Dia 1 (Sábado)</v>
      </c>
    </row>
    <row r="14" spans="1:29" x14ac:dyDescent="0.3">
      <c r="B14" t="str">
        <f>VLOOKUP(tabela_chuva!$D$14,Fonte!$D$1:$E$10,2,FALSE)</f>
        <v>Semana 1</v>
      </c>
      <c r="D14">
        <v>1</v>
      </c>
      <c r="P14" t="s">
        <v>18</v>
      </c>
      <c r="Q14" s="20" t="s">
        <v>30</v>
      </c>
      <c r="S14" t="str">
        <f t="shared" ref="S14:S19" si="5">_xlfn.CONCAT(P14," (",(VLOOKUP(P14,$P$13:$Q$19,2,FALSE)),")")</f>
        <v>Dia 2 (Domingo)</v>
      </c>
    </row>
    <row r="15" spans="1:29" x14ac:dyDescent="0.3">
      <c r="P15" t="s">
        <v>19</v>
      </c>
      <c r="Q15" t="s">
        <v>31</v>
      </c>
      <c r="S15" t="str">
        <f t="shared" si="5"/>
        <v>Dia 3 (Segunda)</v>
      </c>
    </row>
    <row r="16" spans="1:29" x14ac:dyDescent="0.3">
      <c r="P16" t="s">
        <v>20</v>
      </c>
      <c r="Q16" t="s">
        <v>32</v>
      </c>
      <c r="S16" t="str">
        <f t="shared" si="5"/>
        <v>Dia 4 (Terça)</v>
      </c>
    </row>
    <row r="17" spans="16:19" x14ac:dyDescent="0.3">
      <c r="P17" t="s">
        <v>21</v>
      </c>
      <c r="Q17" t="s">
        <v>33</v>
      </c>
      <c r="S17" t="str">
        <f t="shared" si="5"/>
        <v>Dia 5 (Quarta)</v>
      </c>
    </row>
    <row r="18" spans="16:19" x14ac:dyDescent="0.3">
      <c r="P18" t="s">
        <v>22</v>
      </c>
      <c r="Q18" t="s">
        <v>34</v>
      </c>
      <c r="S18" t="str">
        <f t="shared" si="5"/>
        <v>Dia 6 (Quinta)</v>
      </c>
    </row>
    <row r="19" spans="16:19" x14ac:dyDescent="0.3">
      <c r="P19" t="s">
        <v>23</v>
      </c>
      <c r="Q19" t="s">
        <v>35</v>
      </c>
      <c r="S19" t="str">
        <f t="shared" si="5"/>
        <v>Dia 7 (Sexta)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BBD01-E11A-48A7-B0C1-AE5B5A01AA8B}">
  <sheetPr codeName="Planilha7"/>
  <dimension ref="A1:I10"/>
  <sheetViews>
    <sheetView workbookViewId="0">
      <selection activeCell="N22" sqref="N22"/>
    </sheetView>
  </sheetViews>
  <sheetFormatPr defaultRowHeight="14.4" x14ac:dyDescent="0.3"/>
  <cols>
    <col min="1" max="1" width="12.21875" bestFit="1" customWidth="1"/>
    <col min="2" max="8" width="9.5546875" bestFit="1" customWidth="1"/>
    <col min="9" max="9" width="10.77734375" bestFit="1" customWidth="1"/>
  </cols>
  <sheetData>
    <row r="1" spans="1:9" x14ac:dyDescent="0.3">
      <c r="A1" s="13" t="s">
        <v>7</v>
      </c>
      <c r="B1" s="14" t="s">
        <v>17</v>
      </c>
      <c r="C1" s="14" t="s">
        <v>18</v>
      </c>
      <c r="D1" s="14" t="s">
        <v>19</v>
      </c>
      <c r="E1" s="14" t="s">
        <v>20</v>
      </c>
      <c r="F1" s="14" t="s">
        <v>21</v>
      </c>
      <c r="G1" s="14" t="s">
        <v>22</v>
      </c>
      <c r="H1" s="14" t="s">
        <v>23</v>
      </c>
      <c r="I1" s="15" t="s">
        <v>24</v>
      </c>
    </row>
    <row r="2" spans="1:9" x14ac:dyDescent="0.3">
      <c r="A2" s="13" t="s">
        <v>8</v>
      </c>
      <c r="B2" s="14">
        <v>19</v>
      </c>
      <c r="C2" s="14">
        <v>21</v>
      </c>
      <c r="D2" s="14">
        <v>22</v>
      </c>
      <c r="E2" s="14">
        <v>24</v>
      </c>
      <c r="F2" s="14">
        <v>20</v>
      </c>
      <c r="G2" s="14">
        <v>18</v>
      </c>
      <c r="H2" s="14">
        <v>19</v>
      </c>
      <c r="I2" s="14">
        <f>AVERAGE(tabela_maxima[[#This Row],[Dia 1]:[Dia 7]])</f>
        <v>20.428571428571427</v>
      </c>
    </row>
    <row r="3" spans="1:9" x14ac:dyDescent="0.3">
      <c r="A3" s="13" t="s">
        <v>9</v>
      </c>
      <c r="B3" s="14">
        <v>21</v>
      </c>
      <c r="C3" s="14">
        <v>23</v>
      </c>
      <c r="D3" s="14">
        <v>22</v>
      </c>
      <c r="E3" s="14">
        <v>22</v>
      </c>
      <c r="F3" s="14">
        <v>23</v>
      </c>
      <c r="G3" s="14">
        <v>23</v>
      </c>
      <c r="H3" s="14">
        <v>27</v>
      </c>
      <c r="I3" s="14">
        <f>AVERAGE(tabela_maxima[[#This Row],[Dia 1]:[Dia 7]])</f>
        <v>23</v>
      </c>
    </row>
    <row r="4" spans="1:9" x14ac:dyDescent="0.3">
      <c r="A4" s="13" t="s">
        <v>10</v>
      </c>
      <c r="B4" s="14">
        <v>22</v>
      </c>
      <c r="C4" s="14">
        <v>24</v>
      </c>
      <c r="D4" s="14">
        <v>28</v>
      </c>
      <c r="E4" s="14">
        <v>27</v>
      </c>
      <c r="F4" s="14">
        <v>30</v>
      </c>
      <c r="G4" s="14">
        <v>27</v>
      </c>
      <c r="H4" s="14">
        <v>20</v>
      </c>
      <c r="I4" s="14">
        <f>AVERAGE(tabela_maxima[[#This Row],[Dia 1]:[Dia 7]])</f>
        <v>25.428571428571427</v>
      </c>
    </row>
    <row r="5" spans="1:9" x14ac:dyDescent="0.3">
      <c r="A5" s="13" t="s">
        <v>11</v>
      </c>
      <c r="B5" s="14">
        <v>19</v>
      </c>
      <c r="C5" s="14">
        <v>20</v>
      </c>
      <c r="D5" s="14">
        <v>20</v>
      </c>
      <c r="E5" s="14">
        <v>20</v>
      </c>
      <c r="F5" s="14">
        <v>23</v>
      </c>
      <c r="G5" s="14">
        <v>23</v>
      </c>
      <c r="H5" s="14">
        <v>23</v>
      </c>
      <c r="I5" s="14">
        <f>AVERAGE(tabela_maxima[[#This Row],[Dia 1]:[Dia 7]])</f>
        <v>21.142857142857142</v>
      </c>
    </row>
    <row r="6" spans="1:9" x14ac:dyDescent="0.3">
      <c r="A6" s="13" t="s">
        <v>12</v>
      </c>
      <c r="B6" s="14">
        <v>23</v>
      </c>
      <c r="C6" s="14">
        <v>23</v>
      </c>
      <c r="D6" s="14">
        <v>21</v>
      </c>
      <c r="E6" s="14">
        <v>22</v>
      </c>
      <c r="F6" s="14">
        <v>0</v>
      </c>
      <c r="G6" s="14">
        <v>0</v>
      </c>
      <c r="H6" s="14">
        <v>0</v>
      </c>
      <c r="I6" s="14">
        <f>AVERAGE(tabela_maxima[[#This Row],[Dia 1]:[Dia 7]])</f>
        <v>12.714285714285714</v>
      </c>
    </row>
    <row r="7" spans="1:9" x14ac:dyDescent="0.3">
      <c r="A7" s="13" t="s">
        <v>13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f>AVERAGE(tabela_maxima[[#This Row],[Dia 1]:[Dia 7]])</f>
        <v>0</v>
      </c>
    </row>
    <row r="8" spans="1:9" x14ac:dyDescent="0.3">
      <c r="A8" s="13" t="s">
        <v>14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f>AVERAGE(tabela_maxima[[#This Row],[Dia 1]:[Dia 7]])</f>
        <v>0</v>
      </c>
    </row>
    <row r="9" spans="1:9" x14ac:dyDescent="0.3">
      <c r="A9" s="13" t="s">
        <v>15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f>AVERAGE(tabela_maxima[[#This Row],[Dia 1]:[Dia 7]])</f>
        <v>0</v>
      </c>
    </row>
    <row r="10" spans="1:9" x14ac:dyDescent="0.3">
      <c r="A10" s="13" t="s">
        <v>16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f>AVERAGE(tabela_maxima[[#This Row],[Dia 1]:[Dia 7]])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621DE-5978-4A78-BBF1-07B07F2838FA}">
  <sheetPr codeName="Planilha8"/>
  <dimension ref="A1:I10"/>
  <sheetViews>
    <sheetView workbookViewId="0">
      <selection activeCell="G2" sqref="G2"/>
    </sheetView>
  </sheetViews>
  <sheetFormatPr defaultRowHeight="14.4" x14ac:dyDescent="0.3"/>
  <cols>
    <col min="1" max="1" width="12.21875" bestFit="1" customWidth="1"/>
    <col min="2" max="8" width="9.5546875" bestFit="1" customWidth="1"/>
    <col min="9" max="9" width="10.77734375" bestFit="1" customWidth="1"/>
  </cols>
  <sheetData>
    <row r="1" spans="1:9" x14ac:dyDescent="0.3">
      <c r="A1" s="13" t="s">
        <v>7</v>
      </c>
      <c r="B1" s="14" t="s">
        <v>17</v>
      </c>
      <c r="C1" s="14" t="s">
        <v>18</v>
      </c>
      <c r="D1" s="14" t="s">
        <v>19</v>
      </c>
      <c r="E1" s="14" t="s">
        <v>20</v>
      </c>
      <c r="F1" s="14" t="s">
        <v>21</v>
      </c>
      <c r="G1" s="14" t="s">
        <v>22</v>
      </c>
      <c r="H1" s="14" t="s">
        <v>23</v>
      </c>
      <c r="I1" s="15" t="s">
        <v>24</v>
      </c>
    </row>
    <row r="2" spans="1:9" x14ac:dyDescent="0.3">
      <c r="A2" s="13" t="s">
        <v>8</v>
      </c>
      <c r="B2" s="14">
        <v>22</v>
      </c>
      <c r="C2" s="14">
        <v>26</v>
      </c>
      <c r="D2" s="14">
        <v>28</v>
      </c>
      <c r="E2" s="14">
        <v>32</v>
      </c>
      <c r="F2" s="14">
        <v>23</v>
      </c>
      <c r="G2" s="14">
        <v>20</v>
      </c>
      <c r="H2" s="14">
        <v>22</v>
      </c>
      <c r="I2" s="14">
        <f>AVERAGE(tabela_minima[[#This Row],[Dia 1]:[Dia 7]])</f>
        <v>24.714285714285715</v>
      </c>
    </row>
    <row r="3" spans="1:9" x14ac:dyDescent="0.3">
      <c r="A3" s="13" t="s">
        <v>9</v>
      </c>
      <c r="B3" s="14">
        <v>25</v>
      </c>
      <c r="C3" s="14">
        <v>28</v>
      </c>
      <c r="D3" s="14">
        <v>24</v>
      </c>
      <c r="E3" s="14">
        <v>26</v>
      </c>
      <c r="F3" s="14">
        <v>18</v>
      </c>
      <c r="G3" s="14">
        <v>27</v>
      </c>
      <c r="H3" s="14">
        <v>33</v>
      </c>
      <c r="I3" s="14">
        <f>AVERAGE(tabela_minima[[#This Row],[Dia 1]:[Dia 7]])</f>
        <v>25.857142857142858</v>
      </c>
    </row>
    <row r="4" spans="1:9" x14ac:dyDescent="0.3">
      <c r="A4" s="13" t="s">
        <v>10</v>
      </c>
      <c r="B4" s="14">
        <v>24</v>
      </c>
      <c r="C4" s="14">
        <v>28</v>
      </c>
      <c r="D4" s="14">
        <v>34</v>
      </c>
      <c r="E4" s="14">
        <v>32</v>
      </c>
      <c r="F4" s="14">
        <v>37</v>
      </c>
      <c r="G4" s="14">
        <v>33</v>
      </c>
      <c r="H4" s="14">
        <v>22</v>
      </c>
      <c r="I4" s="14">
        <f>AVERAGE(tabela_minima[[#This Row],[Dia 1]:[Dia 7]])</f>
        <v>30</v>
      </c>
    </row>
    <row r="5" spans="1:9" x14ac:dyDescent="0.3">
      <c r="A5" s="13" t="s">
        <v>11</v>
      </c>
      <c r="B5" s="14">
        <v>22</v>
      </c>
      <c r="C5" s="14">
        <v>22</v>
      </c>
      <c r="D5" s="14">
        <v>22</v>
      </c>
      <c r="E5" s="14">
        <v>24</v>
      </c>
      <c r="F5" s="14">
        <v>28</v>
      </c>
      <c r="G5" s="14">
        <v>27</v>
      </c>
      <c r="H5" s="14">
        <v>27</v>
      </c>
      <c r="I5" s="14">
        <f>AVERAGE(tabela_minima[[#This Row],[Dia 1]:[Dia 7]])</f>
        <v>24.571428571428573</v>
      </c>
    </row>
    <row r="6" spans="1:9" x14ac:dyDescent="0.3">
      <c r="A6" s="13" t="s">
        <v>12</v>
      </c>
      <c r="B6" s="14">
        <v>28</v>
      </c>
      <c r="C6" s="14">
        <v>25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f>AVERAGE(tabela_minima[[#This Row],[Dia 1]:[Dia 7]])</f>
        <v>7.5714285714285712</v>
      </c>
    </row>
    <row r="7" spans="1:9" x14ac:dyDescent="0.3">
      <c r="A7" s="13" t="s">
        <v>13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f>AVERAGE(tabela_minima[[#This Row],[Dia 1]:[Dia 7]])</f>
        <v>0</v>
      </c>
    </row>
    <row r="8" spans="1:9" x14ac:dyDescent="0.3">
      <c r="A8" s="13" t="s">
        <v>14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f>AVERAGE(tabela_minima[[#This Row],[Dia 1]:[Dia 7]])</f>
        <v>0</v>
      </c>
    </row>
    <row r="9" spans="1:9" x14ac:dyDescent="0.3">
      <c r="A9" s="13" t="s">
        <v>15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f>AVERAGE(tabela_minima[[#This Row],[Dia 1]:[Dia 7]])</f>
        <v>0</v>
      </c>
    </row>
    <row r="10" spans="1:9" x14ac:dyDescent="0.3">
      <c r="A10" s="13" t="s">
        <v>16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f>AVERAGE(tabela_minima[[#This Row],[Dia 1]:[Dia 7]])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92E21-A61B-47A4-A645-2B3900CC0E60}">
  <sheetPr codeName="Planilha3"/>
  <dimension ref="A1"/>
  <sheetViews>
    <sheetView showGridLines="0" showRowColHeaders="0" tabSelected="1" zoomScaleNormal="100" workbookViewId="0">
      <selection activeCell="C34" sqref="C34"/>
    </sheetView>
  </sheetViews>
  <sheetFormatPr defaultRowHeight="14.4" x14ac:dyDescent="0.3"/>
  <cols>
    <col min="1" max="16384" width="8.88671875" style="16"/>
  </cols>
  <sheetData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9217" r:id="rId3" name="ComboBox1">
          <controlPr defaultSize="0" autoLine="0" linkedCell="tabela_chuva!B14" listFillRange="Fonte!E2:E10" r:id="rId4">
            <anchor moveWithCells="1">
              <from>
                <xdr:col>20</xdr:col>
                <xdr:colOff>403860</xdr:colOff>
                <xdr:row>0</xdr:row>
                <xdr:rowOff>144780</xdr:rowOff>
              </from>
              <to>
                <xdr:col>22</xdr:col>
                <xdr:colOff>556260</xdr:colOff>
                <xdr:row>2</xdr:row>
                <xdr:rowOff>0</xdr:rowOff>
              </to>
            </anchor>
          </controlPr>
        </control>
      </mc:Choice>
      <mc:Fallback>
        <control shapeId="9217" r:id="rId3" name="ComboBox1"/>
      </mc:Fallback>
    </mc:AlternateContent>
    <mc:AlternateContent xmlns:mc="http://schemas.openxmlformats.org/markup-compatibility/2006">
      <mc:Choice Requires="x14">
        <control shapeId="9222" r:id="rId5" name="Option Button 6">
          <controlPr defaultSize="0" autoFill="0" autoLine="0" autoPict="0">
            <anchor moveWithCells="1">
              <from>
                <xdr:col>0</xdr:col>
                <xdr:colOff>381000</xdr:colOff>
                <xdr:row>0</xdr:row>
                <xdr:rowOff>175260</xdr:rowOff>
              </from>
              <to>
                <xdr:col>2</xdr:col>
                <xdr:colOff>289560</xdr:colOff>
                <xdr:row>2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3" r:id="rId6" name="Group Box 7">
          <controlPr defaultSize="0" print="0" autoFill="0" autoPict="0">
            <anchor moveWithCells="1">
              <from>
                <xdr:col>0</xdr:col>
                <xdr:colOff>228600</xdr:colOff>
                <xdr:row>0</xdr:row>
                <xdr:rowOff>91440</xdr:rowOff>
              </from>
              <to>
                <xdr:col>20</xdr:col>
                <xdr:colOff>152400</xdr:colOff>
                <xdr:row>2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4" r:id="rId7" name="Option Button 8">
          <controlPr defaultSize="0" autoFill="0" autoLine="0" autoPict="0">
            <anchor moveWithCells="1">
              <from>
                <xdr:col>2</xdr:col>
                <xdr:colOff>502920</xdr:colOff>
                <xdr:row>1</xdr:row>
                <xdr:rowOff>7620</xdr:rowOff>
              </from>
              <to>
                <xdr:col>4</xdr:col>
                <xdr:colOff>411480</xdr:colOff>
                <xdr:row>2</xdr:row>
                <xdr:rowOff>68580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61BD3-1551-40C5-A70C-EA2FA0A78FC4}">
  <sheetPr codeName="Planilha9"/>
  <dimension ref="A1"/>
  <sheetViews>
    <sheetView showGridLines="0" showRowColHeaders="0" workbookViewId="0">
      <selection activeCell="X15" sqref="X15"/>
    </sheetView>
  </sheetViews>
  <sheetFormatPr defaultRowHeight="14.4" x14ac:dyDescent="0.3"/>
  <cols>
    <col min="1" max="16384" width="8.88671875" style="16"/>
  </cols>
  <sheetData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20BFD-8563-4746-8890-540DD458B61D}">
  <sheetPr codeName="Planilha1"/>
  <dimension ref="A1:R33"/>
  <sheetViews>
    <sheetView zoomScale="130" zoomScaleNormal="130" workbookViewId="0">
      <selection activeCell="E38" sqref="E38"/>
    </sheetView>
  </sheetViews>
  <sheetFormatPr defaultRowHeight="14.4" x14ac:dyDescent="0.3"/>
  <cols>
    <col min="1" max="1" width="8.109375" bestFit="1" customWidth="1"/>
    <col min="2" max="2" width="15.88671875" bestFit="1" customWidth="1"/>
    <col min="3" max="3" width="27.77734375" bestFit="1" customWidth="1"/>
    <col min="4" max="4" width="27.5546875" customWidth="1"/>
    <col min="5" max="5" width="26.109375" bestFit="1" customWidth="1"/>
    <col min="6" max="6" width="14.33203125" customWidth="1"/>
    <col min="7" max="7" width="20.109375" customWidth="1"/>
    <col min="8" max="8" width="18.77734375" style="10" bestFit="1" customWidth="1"/>
    <col min="9" max="10" width="8.88671875" style="7"/>
  </cols>
  <sheetData>
    <row r="1" spans="1:18" x14ac:dyDescent="0.3">
      <c r="A1" s="2" t="s">
        <v>0</v>
      </c>
      <c r="B1" s="2" t="s">
        <v>1</v>
      </c>
      <c r="C1" s="2" t="s">
        <v>3</v>
      </c>
      <c r="D1" s="2" t="s">
        <v>2</v>
      </c>
      <c r="E1" s="2" t="s">
        <v>6</v>
      </c>
      <c r="F1" s="2" t="s">
        <v>4</v>
      </c>
      <c r="G1" s="8" t="s">
        <v>5</v>
      </c>
      <c r="H1" s="7"/>
      <c r="J1"/>
      <c r="R1" s="4"/>
    </row>
    <row r="2" spans="1:18" x14ac:dyDescent="0.3">
      <c r="A2" s="3">
        <v>1</v>
      </c>
      <c r="B2" s="3">
        <v>0</v>
      </c>
      <c r="C2" s="3">
        <v>16</v>
      </c>
      <c r="D2" s="3">
        <v>22</v>
      </c>
      <c r="E2" s="3">
        <f>ROUND(AVERAGE(Tabela1[[#This Row],[Temperatura máxima (Cº)]],Tabela1[[#This Row],[Temperatura mímima (Cº)]]),0)</f>
        <v>19</v>
      </c>
      <c r="F2" s="6">
        <f>VLOOKUP(Tabela1[[#This Row],[Dia]],Fonte!A2:B61,2,FALSE)</f>
        <v>44415</v>
      </c>
      <c r="G2" s="9">
        <v>44417.809594907405</v>
      </c>
      <c r="H2" s="7"/>
      <c r="J2"/>
    </row>
    <row r="3" spans="1:18" x14ac:dyDescent="0.3">
      <c r="A3" s="1">
        <v>2</v>
      </c>
      <c r="B3" s="1">
        <v>0</v>
      </c>
      <c r="C3" s="1">
        <v>16</v>
      </c>
      <c r="D3" s="1">
        <v>26</v>
      </c>
      <c r="E3" s="3">
        <f>ROUND(AVERAGE(Tabela1[[#This Row],[Temperatura máxima (Cº)]],Tabela1[[#This Row],[Temperatura mímima (Cº)]]),0)</f>
        <v>21</v>
      </c>
      <c r="F3" s="6">
        <f>VLOOKUP(Tabela1[[#This Row],[Dia]],Fonte!A3:B62,2,FALSE)</f>
        <v>44416</v>
      </c>
      <c r="G3" s="9">
        <v>44417.811284722222</v>
      </c>
      <c r="H3" s="7"/>
      <c r="J3"/>
    </row>
    <row r="4" spans="1:18" x14ac:dyDescent="0.3">
      <c r="A4" s="1">
        <v>3</v>
      </c>
      <c r="B4" s="1">
        <v>0</v>
      </c>
      <c r="C4" s="1">
        <v>16</v>
      </c>
      <c r="D4" s="1">
        <v>28</v>
      </c>
      <c r="E4" s="3">
        <f>ROUND(AVERAGE(Tabela1[[#This Row],[Temperatura máxima (Cº)]],Tabela1[[#This Row],[Temperatura mímima (Cº)]]),0)</f>
        <v>22</v>
      </c>
      <c r="F4" s="6">
        <f>VLOOKUP(Tabela1[[#This Row],[Dia]],Fonte!A4:B63,2,FALSE)</f>
        <v>44417</v>
      </c>
      <c r="G4" s="9">
        <v>44418.017546296294</v>
      </c>
      <c r="H4" s="7"/>
      <c r="J4"/>
    </row>
    <row r="5" spans="1:18" x14ac:dyDescent="0.3">
      <c r="A5" s="1">
        <v>4</v>
      </c>
      <c r="B5" s="1">
        <v>0</v>
      </c>
      <c r="C5" s="1">
        <v>16</v>
      </c>
      <c r="D5" s="1">
        <v>32</v>
      </c>
      <c r="E5" s="3">
        <f>ROUND(AVERAGE(Tabela1[[#This Row],[Temperatura máxima (Cº)]],Tabela1[[#This Row],[Temperatura mímima (Cº)]]),0)</f>
        <v>24</v>
      </c>
      <c r="F5" s="6">
        <f>VLOOKUP(Tabela1[[#This Row],[Dia]],Fonte!A5:B64,2,FALSE)</f>
        <v>44418</v>
      </c>
      <c r="G5" s="9">
        <v>44418.935648148145</v>
      </c>
      <c r="H5" s="7"/>
      <c r="J5"/>
    </row>
    <row r="6" spans="1:18" x14ac:dyDescent="0.3">
      <c r="A6" s="1">
        <v>5</v>
      </c>
      <c r="B6" s="1">
        <v>15</v>
      </c>
      <c r="C6" s="1">
        <v>16</v>
      </c>
      <c r="D6" s="1">
        <v>23</v>
      </c>
      <c r="E6" s="3">
        <f>ROUND(AVERAGE(Tabela1[[#This Row],[Temperatura máxima (Cº)]],Tabela1[[#This Row],[Temperatura mímima (Cº)]]),0)</f>
        <v>20</v>
      </c>
      <c r="F6" s="6">
        <f>VLOOKUP(Tabela1[[#This Row],[Dia]],Fonte!A6:B65,2,FALSE)</f>
        <v>44419</v>
      </c>
      <c r="G6" s="9">
        <v>44420.525046296294</v>
      </c>
      <c r="H6" s="7"/>
      <c r="J6"/>
    </row>
    <row r="7" spans="1:18" x14ac:dyDescent="0.3">
      <c r="A7" s="1">
        <v>6</v>
      </c>
      <c r="B7" s="1">
        <v>40</v>
      </c>
      <c r="C7" s="1">
        <v>16</v>
      </c>
      <c r="D7" s="1">
        <v>20</v>
      </c>
      <c r="E7" s="3">
        <f>ROUND(AVERAGE(Tabela1[[#This Row],[Temperatura máxima (Cº)]],Tabela1[[#This Row],[Temperatura mímima (Cº)]]),0)</f>
        <v>18</v>
      </c>
      <c r="F7" s="6">
        <f>VLOOKUP(Tabela1[[#This Row],[Dia]],Fonte!A7:B66,2,FALSE)</f>
        <v>44420</v>
      </c>
      <c r="G7" s="9">
        <v>44420.905243055553</v>
      </c>
      <c r="H7" s="7"/>
      <c r="J7"/>
    </row>
    <row r="8" spans="1:18" x14ac:dyDescent="0.3">
      <c r="A8" s="1">
        <v>7</v>
      </c>
      <c r="B8" s="1">
        <v>35</v>
      </c>
      <c r="C8" s="1">
        <v>16</v>
      </c>
      <c r="D8" s="1">
        <v>22</v>
      </c>
      <c r="E8" s="3">
        <f>ROUND(AVERAGE(Tabela1[[#This Row],[Temperatura máxima (Cº)]],Tabela1[[#This Row],[Temperatura mímima (Cº)]]),0)</f>
        <v>19</v>
      </c>
      <c r="F8" s="6">
        <f>VLOOKUP(Tabela1[[#This Row],[Dia]],Fonte!A8:B67,2,FALSE)</f>
        <v>44421</v>
      </c>
      <c r="G8" s="9">
        <v>44423.904016203705</v>
      </c>
      <c r="H8" s="7"/>
      <c r="J8"/>
    </row>
    <row r="9" spans="1:18" x14ac:dyDescent="0.3">
      <c r="A9" s="1">
        <v>8</v>
      </c>
      <c r="B9" s="1">
        <v>20</v>
      </c>
      <c r="C9" s="1">
        <v>16</v>
      </c>
      <c r="D9" s="1">
        <v>25</v>
      </c>
      <c r="E9" s="3">
        <f>ROUND(AVERAGE(Tabela1[[#This Row],[Temperatura máxima (Cº)]],Tabela1[[#This Row],[Temperatura mímima (Cº)]]),0)</f>
        <v>21</v>
      </c>
      <c r="F9" s="6">
        <f>VLOOKUP(Tabela1[[#This Row],[Dia]],Fonte!A9:B68,2,FALSE)</f>
        <v>44422</v>
      </c>
      <c r="G9" s="9">
        <v>44423.905451388891</v>
      </c>
      <c r="H9" s="7"/>
      <c r="J9"/>
    </row>
    <row r="10" spans="1:18" x14ac:dyDescent="0.3">
      <c r="A10" s="1">
        <v>9</v>
      </c>
      <c r="B10" s="1">
        <v>10</v>
      </c>
      <c r="C10" s="1">
        <v>18</v>
      </c>
      <c r="D10" s="1">
        <v>28</v>
      </c>
      <c r="E10" s="3">
        <f>ROUND(AVERAGE(Tabela1[[#This Row],[Temperatura máxima (Cº)]],Tabela1[[#This Row],[Temperatura mímima (Cº)]]),0)</f>
        <v>23</v>
      </c>
      <c r="F10" s="6">
        <f>VLOOKUP(Tabela1[[#This Row],[Dia]],Fonte!A10:B69,2,FALSE)</f>
        <v>44423</v>
      </c>
      <c r="G10" s="9">
        <v>44425.022881944446</v>
      </c>
      <c r="H10" s="7"/>
      <c r="J10"/>
    </row>
    <row r="11" spans="1:18" x14ac:dyDescent="0.3">
      <c r="A11" s="1">
        <v>10</v>
      </c>
      <c r="B11" s="1">
        <v>20</v>
      </c>
      <c r="C11" s="1">
        <v>19</v>
      </c>
      <c r="D11" s="1">
        <v>24</v>
      </c>
      <c r="E11" s="3">
        <f>ROUND(AVERAGE(Tabela1[[#This Row],[Temperatura máxima (Cº)]],Tabela1[[#This Row],[Temperatura mímima (Cº)]]),0)</f>
        <v>22</v>
      </c>
      <c r="F11" s="6">
        <f>VLOOKUP(Tabela1[[#This Row],[Dia]],Fonte!A11:B70,2,FALSE)</f>
        <v>44424</v>
      </c>
      <c r="G11" s="9">
        <v>44425.023101851853</v>
      </c>
      <c r="H11" s="7"/>
      <c r="J11"/>
    </row>
    <row r="12" spans="1:18" x14ac:dyDescent="0.3">
      <c r="A12" s="1">
        <v>11</v>
      </c>
      <c r="B12" s="1">
        <v>0</v>
      </c>
      <c r="C12" s="1">
        <v>18</v>
      </c>
      <c r="D12" s="1">
        <v>26</v>
      </c>
      <c r="E12" s="3">
        <f>ROUND(AVERAGE(Tabela1[[#This Row],[Temperatura máxima (Cº)]],Tabela1[[#This Row],[Temperatura mímima (Cº)]]),0)</f>
        <v>22</v>
      </c>
      <c r="F12" s="6">
        <f>VLOOKUP(Tabela1[[#This Row],[Dia]],Fonte!A12:B71,2,FALSE)</f>
        <v>44425</v>
      </c>
      <c r="G12" s="9">
        <v>44426.818842592591</v>
      </c>
      <c r="H12" s="7"/>
      <c r="J12"/>
    </row>
    <row r="13" spans="1:18" x14ac:dyDescent="0.3">
      <c r="A13" s="1">
        <v>12</v>
      </c>
      <c r="B13" s="1">
        <v>0</v>
      </c>
      <c r="C13" s="1">
        <v>27</v>
      </c>
      <c r="D13" s="1">
        <v>18</v>
      </c>
      <c r="E13" s="3">
        <f>ROUND(AVERAGE(Tabela1[[#This Row],[Temperatura máxima (Cº)]],Tabela1[[#This Row],[Temperatura mímima (Cº)]]),0)</f>
        <v>23</v>
      </c>
      <c r="F13" s="6">
        <f>VLOOKUP(Tabela1[[#This Row],[Dia]],Fonte!A13:B72,2,FALSE)</f>
        <v>44426</v>
      </c>
      <c r="G13" s="9">
        <v>44427.830023148148</v>
      </c>
      <c r="H13" s="7"/>
      <c r="J13"/>
    </row>
    <row r="14" spans="1:18" x14ac:dyDescent="0.3">
      <c r="A14" s="1">
        <v>13</v>
      </c>
      <c r="B14" s="1">
        <v>0</v>
      </c>
      <c r="C14" s="1">
        <v>19</v>
      </c>
      <c r="D14" s="1">
        <v>27</v>
      </c>
      <c r="E14" s="3">
        <f>ROUND(AVERAGE(Tabela1[[#This Row],[Temperatura máxima (Cº)]],Tabela1[[#This Row],[Temperatura mímima (Cº)]]),0)</f>
        <v>23</v>
      </c>
      <c r="F14" s="6">
        <f>VLOOKUP(Tabela1[[#This Row],[Dia]],Fonte!A14:B73,2,FALSE)</f>
        <v>44427</v>
      </c>
      <c r="G14" s="9">
        <v>44428.004247685189</v>
      </c>
      <c r="H14" s="7"/>
      <c r="J14"/>
    </row>
    <row r="15" spans="1:18" x14ac:dyDescent="0.3">
      <c r="A15" s="1">
        <v>14</v>
      </c>
      <c r="B15" s="1">
        <v>0</v>
      </c>
      <c r="C15" s="1">
        <v>21</v>
      </c>
      <c r="D15" s="1">
        <v>33</v>
      </c>
      <c r="E15" s="3">
        <f>ROUND(AVERAGE(Tabela1[[#This Row],[Temperatura máxima (Cº)]],Tabela1[[#This Row],[Temperatura mímima (Cº)]]),0)</f>
        <v>27</v>
      </c>
      <c r="F15" s="6">
        <f>VLOOKUP(Tabela1[[#This Row],[Dia]],Fonte!A15:B74,2,FALSE)</f>
        <v>44428</v>
      </c>
      <c r="G15" s="9">
        <v>44428.937858796293</v>
      </c>
      <c r="H15" s="7"/>
      <c r="J15"/>
    </row>
    <row r="16" spans="1:18" x14ac:dyDescent="0.3">
      <c r="A16" s="1">
        <v>15</v>
      </c>
      <c r="B16" s="1">
        <v>0</v>
      </c>
      <c r="C16" s="1">
        <v>20</v>
      </c>
      <c r="D16" s="1">
        <v>24</v>
      </c>
      <c r="E16" s="3">
        <f>ROUND(AVERAGE(Tabela1[[#This Row],[Temperatura máxima (Cº)]],Tabela1[[#This Row],[Temperatura mímima (Cº)]]),0)</f>
        <v>22</v>
      </c>
      <c r="F16" s="6">
        <f>VLOOKUP(Tabela1[[#This Row],[Dia]],Fonte!A16:B75,2,FALSE)</f>
        <v>44429</v>
      </c>
      <c r="G16" s="9">
        <v>44430.759016203701</v>
      </c>
      <c r="H16" s="7"/>
      <c r="J16"/>
    </row>
    <row r="17" spans="1:10" x14ac:dyDescent="0.3">
      <c r="A17" s="1">
        <v>16</v>
      </c>
      <c r="B17" s="1">
        <v>0</v>
      </c>
      <c r="C17" s="1">
        <v>20</v>
      </c>
      <c r="D17" s="1">
        <v>28</v>
      </c>
      <c r="E17" s="3">
        <f>ROUND(AVERAGE(Tabela1[[#This Row],[Temperatura máxima (Cº)]],Tabela1[[#This Row],[Temperatura mímima (Cº)]]),0)</f>
        <v>24</v>
      </c>
      <c r="F17" s="6">
        <f>VLOOKUP(Tabela1[[#This Row],[Dia]],Fonte!A17:B76,2,FALSE)</f>
        <v>44430</v>
      </c>
      <c r="G17" s="9">
        <v>44431.578819444447</v>
      </c>
      <c r="H17" s="7"/>
      <c r="J17"/>
    </row>
    <row r="18" spans="1:10" x14ac:dyDescent="0.3">
      <c r="A18" s="1">
        <v>17</v>
      </c>
      <c r="B18" s="1">
        <v>0</v>
      </c>
      <c r="C18" s="1">
        <v>21</v>
      </c>
      <c r="D18" s="1">
        <v>34</v>
      </c>
      <c r="E18" s="3">
        <f>ROUND(AVERAGE(Tabela1[[#This Row],[Temperatura máxima (Cº)]],Tabela1[[#This Row],[Temperatura mímima (Cº)]]),0)</f>
        <v>28</v>
      </c>
      <c r="F18" s="6">
        <f>VLOOKUP(Tabela1[[#This Row],[Dia]],Fonte!A18:B77,2,FALSE)</f>
        <v>44431</v>
      </c>
      <c r="G18" s="9">
        <v>44431.579004629632</v>
      </c>
      <c r="H18" s="7"/>
      <c r="J18"/>
    </row>
    <row r="19" spans="1:10" x14ac:dyDescent="0.3">
      <c r="A19" s="1">
        <v>18</v>
      </c>
      <c r="B19" s="1">
        <v>0</v>
      </c>
      <c r="C19" s="1">
        <v>22</v>
      </c>
      <c r="D19" s="1">
        <v>32</v>
      </c>
      <c r="E19" s="3">
        <f>ROUND(AVERAGE(Tabela1[[#This Row],[Temperatura máxima (Cº)]],Tabela1[[#This Row],[Temperatura mímima (Cº)]]),0)</f>
        <v>27</v>
      </c>
      <c r="F19" s="6">
        <f>VLOOKUP(Tabela1[[#This Row],[Dia]],Fonte!A19:B78,2,FALSE)</f>
        <v>44432</v>
      </c>
      <c r="G19" s="9">
        <v>44433.546122685184</v>
      </c>
      <c r="H19" s="7"/>
      <c r="J19"/>
    </row>
    <row r="20" spans="1:10" x14ac:dyDescent="0.3">
      <c r="A20" s="1">
        <v>19</v>
      </c>
      <c r="B20" s="1">
        <v>0</v>
      </c>
      <c r="C20" s="1">
        <v>23</v>
      </c>
      <c r="D20" s="1">
        <v>37</v>
      </c>
      <c r="E20" s="3">
        <f>ROUND(AVERAGE(Tabela1[[#This Row],[Temperatura máxima (Cº)]],Tabela1[[#This Row],[Temperatura mímima (Cº)]]),0)</f>
        <v>30</v>
      </c>
      <c r="F20" s="6">
        <f>VLOOKUP(Tabela1[[#This Row],[Dia]],Fonte!A20:B79,2,FALSE)</f>
        <v>44433</v>
      </c>
      <c r="G20" s="9">
        <v>44434.904074074075</v>
      </c>
      <c r="H20" s="7"/>
      <c r="J20"/>
    </row>
    <row r="21" spans="1:10" x14ac:dyDescent="0.3">
      <c r="A21" s="1">
        <v>20</v>
      </c>
      <c r="B21" s="1">
        <v>5</v>
      </c>
      <c r="C21" s="1">
        <v>20</v>
      </c>
      <c r="D21" s="1">
        <v>33</v>
      </c>
      <c r="E21" s="3">
        <f>ROUND(AVERAGE(Tabela1[[#This Row],[Temperatura máxima (Cº)]],Tabela1[[#This Row],[Temperatura mímima (Cº)]]),0)</f>
        <v>27</v>
      </c>
      <c r="F21" s="6">
        <f>VLOOKUP(Tabela1[[#This Row],[Dia]],Fonte!A21:B80,2,FALSE)</f>
        <v>44434</v>
      </c>
      <c r="G21" s="9">
        <v>44435.800682870373</v>
      </c>
      <c r="H21" s="7"/>
      <c r="J21"/>
    </row>
    <row r="22" spans="1:10" x14ac:dyDescent="0.3">
      <c r="A22" s="1">
        <v>21</v>
      </c>
      <c r="B22" s="1">
        <v>25</v>
      </c>
      <c r="C22" s="1">
        <v>18</v>
      </c>
      <c r="D22" s="1">
        <v>22</v>
      </c>
      <c r="E22" s="3">
        <f>ROUND(AVERAGE(Tabela1[[#This Row],[Temperatura máxima (Cº)]],Tabela1[[#This Row],[Temperatura mímima (Cº)]]),0)</f>
        <v>20</v>
      </c>
      <c r="F22" s="6">
        <f>VLOOKUP(Tabela1[[#This Row],[Dia]],Fonte!A22:B81,2,FALSE)</f>
        <v>44435</v>
      </c>
      <c r="G22" s="9">
        <v>44435.825671296298</v>
      </c>
      <c r="H22" s="7"/>
      <c r="J22"/>
    </row>
    <row r="23" spans="1:10" x14ac:dyDescent="0.3">
      <c r="A23" s="1">
        <v>22</v>
      </c>
      <c r="B23" s="1">
        <v>35</v>
      </c>
      <c r="C23" s="1">
        <v>16</v>
      </c>
      <c r="D23" s="1">
        <v>22</v>
      </c>
      <c r="E23" s="3">
        <f>ROUND(AVERAGE(Tabela1[[#This Row],[Temperatura máxima (Cº)]],Tabela1[[#This Row],[Temperatura mímima (Cº)]]),0)</f>
        <v>19</v>
      </c>
      <c r="F23" s="6">
        <f>VLOOKUP(Tabela1[[#This Row],[Dia]],Fonte!A23:B82,2,FALSE)</f>
        <v>44436</v>
      </c>
      <c r="G23" s="9">
        <v>44437.934398148151</v>
      </c>
      <c r="H23" s="7"/>
      <c r="J23"/>
    </row>
    <row r="24" spans="1:10" x14ac:dyDescent="0.3">
      <c r="A24" s="1">
        <v>23</v>
      </c>
      <c r="B24" s="1">
        <v>30</v>
      </c>
      <c r="C24" s="1">
        <v>17</v>
      </c>
      <c r="D24" s="1">
        <v>22</v>
      </c>
      <c r="E24" s="3">
        <f>ROUND(AVERAGE(Tabela1[[#This Row],[Temperatura máxima (Cº)]],Tabela1[[#This Row],[Temperatura mímima (Cº)]]),0)</f>
        <v>20</v>
      </c>
      <c r="F24" s="6">
        <f>VLOOKUP(Tabela1[[#This Row],[Dia]],Fonte!A24:B83,2,FALSE)</f>
        <v>44437</v>
      </c>
      <c r="G24" s="9">
        <v>44437.934756944444</v>
      </c>
      <c r="H24" s="7"/>
      <c r="J24"/>
    </row>
    <row r="25" spans="1:10" x14ac:dyDescent="0.3">
      <c r="A25" s="1">
        <v>24</v>
      </c>
      <c r="B25" s="1">
        <v>15</v>
      </c>
      <c r="C25" s="1">
        <v>17</v>
      </c>
      <c r="D25" s="1">
        <v>22</v>
      </c>
      <c r="E25" s="3">
        <f>ROUND(AVERAGE(Tabela1[[#This Row],[Temperatura máxima (Cº)]],Tabela1[[#This Row],[Temperatura mímima (Cº)]]),0)</f>
        <v>20</v>
      </c>
      <c r="F25" s="6">
        <f>VLOOKUP(Tabela1[[#This Row],[Dia]],Fonte!A25:B84,2,FALSE)</f>
        <v>44438</v>
      </c>
      <c r="G25" s="9">
        <v>44438.952557870369</v>
      </c>
      <c r="H25" s="7"/>
      <c r="J25"/>
    </row>
    <row r="26" spans="1:10" x14ac:dyDescent="0.3">
      <c r="A26" s="1">
        <v>25</v>
      </c>
      <c r="B26" s="1">
        <v>5</v>
      </c>
      <c r="C26" s="1">
        <v>16</v>
      </c>
      <c r="D26" s="1">
        <v>24</v>
      </c>
      <c r="E26" s="3">
        <f>ROUND(AVERAGE(Tabela1[[#This Row],[Temperatura máxima (Cº)]],Tabela1[[#This Row],[Temperatura mímima (Cº)]]),0)</f>
        <v>20</v>
      </c>
      <c r="F26" s="6">
        <f>VLOOKUP(Tabela1[[#This Row],[Dia]],Fonte!A26:B85,2,FALSE)</f>
        <v>44439</v>
      </c>
      <c r="G26" s="9">
        <v>44440.488391203704</v>
      </c>
      <c r="H26" s="7"/>
      <c r="J26"/>
    </row>
    <row r="27" spans="1:10" x14ac:dyDescent="0.3">
      <c r="A27" s="1">
        <v>26</v>
      </c>
      <c r="B27" s="1">
        <v>0</v>
      </c>
      <c r="C27" s="1">
        <v>18</v>
      </c>
      <c r="D27" s="1">
        <v>28</v>
      </c>
      <c r="E27" s="3">
        <f>ROUND(AVERAGE(Tabela1[[#This Row],[Temperatura máxima (Cº)]],Tabela1[[#This Row],[Temperatura mímima (Cº)]]),0)</f>
        <v>23</v>
      </c>
      <c r="F27" s="6">
        <f>VLOOKUP(Tabela1[[#This Row],[Dia]],Fonte!A27:B86,2,FALSE)</f>
        <v>44440</v>
      </c>
      <c r="G27" s="9">
        <v>44442.632673611108</v>
      </c>
      <c r="H27" s="7"/>
      <c r="J27"/>
    </row>
    <row r="28" spans="1:10" x14ac:dyDescent="0.3">
      <c r="A28" s="1">
        <v>27</v>
      </c>
      <c r="B28" s="1">
        <v>0</v>
      </c>
      <c r="C28" s="1">
        <v>18</v>
      </c>
      <c r="D28" s="1">
        <v>27</v>
      </c>
      <c r="E28" s="3">
        <f>ROUND(AVERAGE(Tabela1[[#This Row],[Temperatura máxima (Cº)]],Tabela1[[#This Row],[Temperatura mímima (Cº)]]),0)</f>
        <v>23</v>
      </c>
      <c r="F28" s="6">
        <f>VLOOKUP(Tabela1[[#This Row],[Dia]],Fonte!A28:B87,2,FALSE)</f>
        <v>44441</v>
      </c>
      <c r="G28" s="9">
        <v>44442.633043981485</v>
      </c>
      <c r="H28" s="7"/>
      <c r="J28"/>
    </row>
    <row r="29" spans="1:10" x14ac:dyDescent="0.3">
      <c r="A29" s="1">
        <v>28</v>
      </c>
      <c r="B29" s="1">
        <v>0</v>
      </c>
      <c r="C29" s="1">
        <v>19</v>
      </c>
      <c r="D29" s="1">
        <v>27</v>
      </c>
      <c r="E29" s="3">
        <f>ROUND(AVERAGE(Tabela1[[#This Row],[Temperatura máxima (Cº)]],Tabela1[[#This Row],[Temperatura mímima (Cº)]]),0)</f>
        <v>23</v>
      </c>
      <c r="F29" s="6">
        <f>VLOOKUP(Tabela1[[#This Row],[Dia]],Fonte!A29:B88,2,FALSE)</f>
        <v>44442</v>
      </c>
      <c r="G29" s="9">
        <v>44444.58666666667</v>
      </c>
      <c r="H29" s="7"/>
      <c r="J29"/>
    </row>
    <row r="30" spans="1:10" x14ac:dyDescent="0.3">
      <c r="A30" s="1">
        <v>29</v>
      </c>
      <c r="B30" s="1">
        <v>0</v>
      </c>
      <c r="C30" s="1">
        <v>18</v>
      </c>
      <c r="D30" s="1">
        <v>28</v>
      </c>
      <c r="E30" s="3">
        <f>ROUND(AVERAGE(Tabela1[[#This Row],[Temperatura máxima (Cº)]],Tabela1[[#This Row],[Temperatura mímima (Cº)]]),0)</f>
        <v>23</v>
      </c>
      <c r="F30" s="6">
        <f>VLOOKUP(Tabela1[[#This Row],[Dia]],Fonte!A30:B89,2,FALSE)</f>
        <v>44443</v>
      </c>
      <c r="G30" s="9">
        <v>44444.58766203704</v>
      </c>
      <c r="H30" s="7"/>
      <c r="J30"/>
    </row>
    <row r="31" spans="1:10" x14ac:dyDescent="0.3">
      <c r="A31" s="1">
        <v>30</v>
      </c>
      <c r="B31" s="1">
        <v>2</v>
      </c>
      <c r="C31" s="1">
        <v>20</v>
      </c>
      <c r="D31" s="1">
        <v>25</v>
      </c>
      <c r="E31" s="3">
        <f>ROUND(AVERAGE(Tabela1[[#This Row],[Temperatura máxima (Cº)]],Tabela1[[#This Row],[Temperatura mímima (Cº)]]),0)</f>
        <v>23</v>
      </c>
      <c r="F31" s="6">
        <f>VLOOKUP(Tabela1[[#This Row],[Dia]],Fonte!A31:B90,2,FALSE)</f>
        <v>44444</v>
      </c>
      <c r="G31" s="9">
        <v>44444.596631944441</v>
      </c>
      <c r="H31" s="7"/>
      <c r="J31"/>
    </row>
    <row r="32" spans="1:10" x14ac:dyDescent="0.3">
      <c r="A32" s="1"/>
      <c r="B32" s="1"/>
      <c r="C32" s="1"/>
      <c r="D32" s="1"/>
      <c r="E32" s="3"/>
      <c r="F32" s="6"/>
      <c r="G32" s="9"/>
      <c r="H32" s="9"/>
    </row>
    <row r="33" spans="1:8" x14ac:dyDescent="0.3">
      <c r="A33" s="1"/>
      <c r="B33" s="1"/>
      <c r="C33" s="1"/>
      <c r="D33" s="1"/>
      <c r="F33" s="3"/>
      <c r="G33" s="6"/>
      <c r="H33" s="9"/>
    </row>
  </sheetData>
  <dataValidations count="3">
    <dataValidation type="whole" operator="greaterThanOrEqual" showInputMessage="1" showErrorMessage="1" sqref="A2:A31" xr:uid="{393FA103-5F34-467A-A784-9597D0C5B52E}">
      <formula1>1</formula1>
    </dataValidation>
    <dataValidation type="decimal" operator="greaterThanOrEqual" allowBlank="1" showInputMessage="1" showErrorMessage="1" sqref="B2:C31" xr:uid="{FFF0E2D3-2302-4217-B94C-B7DE2477D244}">
      <formula1>0</formula1>
    </dataValidation>
    <dataValidation type="whole" operator="greaterThan" allowBlank="1" showInputMessage="1" showErrorMessage="1" sqref="C2:E31" xr:uid="{4FC1DDCF-F111-4CB9-97B7-1A8562BF9352}">
      <formula1>-500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novos_dados_button">
          <controlPr defaultSize="0" autoLine="0" r:id="rId5">
            <anchor moveWithCells="1">
              <from>
                <xdr:col>7</xdr:col>
                <xdr:colOff>137160</xdr:colOff>
                <xdr:row>2</xdr:row>
                <xdr:rowOff>38100</xdr:rowOff>
              </from>
              <to>
                <xdr:col>7</xdr:col>
                <xdr:colOff>1051560</xdr:colOff>
                <xdr:row>7</xdr:row>
                <xdr:rowOff>76200</xdr:rowOff>
              </to>
            </anchor>
          </controlPr>
        </control>
      </mc:Choice>
      <mc:Fallback>
        <control shapeId="1032" r:id="rId4" name="novos_dados_button"/>
      </mc:Fallback>
    </mc:AlternateContent>
    <mc:AlternateContent xmlns:mc="http://schemas.openxmlformats.org/markup-compatibility/2006">
      <mc:Choice Requires="x14">
        <control shapeId="1034" r:id="rId6" name="button_transpor">
          <controlPr defaultSize="0" autoLine="0" r:id="rId7">
            <anchor moveWithCells="1">
              <from>
                <xdr:col>7</xdr:col>
                <xdr:colOff>137160</xdr:colOff>
                <xdr:row>0</xdr:row>
                <xdr:rowOff>106680</xdr:rowOff>
              </from>
              <to>
                <xdr:col>7</xdr:col>
                <xdr:colOff>1051560</xdr:colOff>
                <xdr:row>1</xdr:row>
                <xdr:rowOff>160020</xdr:rowOff>
              </to>
            </anchor>
          </controlPr>
        </control>
      </mc:Choice>
      <mc:Fallback>
        <control shapeId="1034" r:id="rId6" name="button_transpor"/>
      </mc:Fallback>
    </mc:AlternateContent>
  </controls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6D79-E374-4679-BFD3-4A07173E3EE5}">
  <sheetPr codeName="Planilha2"/>
  <dimension ref="A1:E61"/>
  <sheetViews>
    <sheetView workbookViewId="0">
      <selection activeCell="J14" sqref="J14"/>
    </sheetView>
  </sheetViews>
  <sheetFormatPr defaultRowHeight="14.4" x14ac:dyDescent="0.3"/>
  <cols>
    <col min="2" max="2" width="10.5546875" bestFit="1" customWidth="1"/>
  </cols>
  <sheetData>
    <row r="1" spans="1:5" x14ac:dyDescent="0.3">
      <c r="A1" t="s">
        <v>0</v>
      </c>
      <c r="B1" t="s">
        <v>4</v>
      </c>
      <c r="D1" t="s">
        <v>36</v>
      </c>
      <c r="E1" t="s">
        <v>25</v>
      </c>
    </row>
    <row r="2" spans="1:5" x14ac:dyDescent="0.3">
      <c r="A2">
        <v>1</v>
      </c>
      <c r="B2" s="5">
        <v>44415</v>
      </c>
      <c r="D2">
        <v>1</v>
      </c>
      <c r="E2" t="s">
        <v>8</v>
      </c>
    </row>
    <row r="3" spans="1:5" x14ac:dyDescent="0.3">
      <c r="A3">
        <v>2</v>
      </c>
      <c r="B3" s="5">
        <v>44416</v>
      </c>
      <c r="D3">
        <v>2</v>
      </c>
      <c r="E3" t="s">
        <v>9</v>
      </c>
    </row>
    <row r="4" spans="1:5" x14ac:dyDescent="0.3">
      <c r="A4">
        <v>3</v>
      </c>
      <c r="B4" s="5">
        <v>44417</v>
      </c>
      <c r="D4">
        <v>3</v>
      </c>
      <c r="E4" t="s">
        <v>10</v>
      </c>
    </row>
    <row r="5" spans="1:5" x14ac:dyDescent="0.3">
      <c r="A5">
        <v>4</v>
      </c>
      <c r="B5" s="5">
        <v>44418</v>
      </c>
      <c r="D5">
        <v>4</v>
      </c>
      <c r="E5" t="s">
        <v>11</v>
      </c>
    </row>
    <row r="6" spans="1:5" x14ac:dyDescent="0.3">
      <c r="A6">
        <v>5</v>
      </c>
      <c r="B6" s="5">
        <v>44419</v>
      </c>
      <c r="D6">
        <v>5</v>
      </c>
      <c r="E6" t="s">
        <v>12</v>
      </c>
    </row>
    <row r="7" spans="1:5" x14ac:dyDescent="0.3">
      <c r="A7">
        <v>6</v>
      </c>
      <c r="B7" s="5">
        <v>44420</v>
      </c>
      <c r="D7">
        <v>6</v>
      </c>
      <c r="E7" t="s">
        <v>13</v>
      </c>
    </row>
    <row r="8" spans="1:5" x14ac:dyDescent="0.3">
      <c r="A8">
        <v>7</v>
      </c>
      <c r="B8" s="5">
        <v>44421</v>
      </c>
      <c r="D8">
        <v>7</v>
      </c>
      <c r="E8" t="s">
        <v>14</v>
      </c>
    </row>
    <row r="9" spans="1:5" x14ac:dyDescent="0.3">
      <c r="A9">
        <v>8</v>
      </c>
      <c r="B9" s="5">
        <v>44422</v>
      </c>
      <c r="D9">
        <v>8</v>
      </c>
      <c r="E9" t="s">
        <v>15</v>
      </c>
    </row>
    <row r="10" spans="1:5" x14ac:dyDescent="0.3">
      <c r="A10">
        <v>9</v>
      </c>
      <c r="B10" s="5">
        <v>44423</v>
      </c>
      <c r="D10">
        <v>9</v>
      </c>
      <c r="E10" t="s">
        <v>16</v>
      </c>
    </row>
    <row r="11" spans="1:5" x14ac:dyDescent="0.3">
      <c r="A11">
        <v>10</v>
      </c>
      <c r="B11" s="5">
        <v>44424</v>
      </c>
    </row>
    <row r="12" spans="1:5" x14ac:dyDescent="0.3">
      <c r="A12">
        <v>11</v>
      </c>
      <c r="B12" s="5">
        <v>44425</v>
      </c>
    </row>
    <row r="13" spans="1:5" x14ac:dyDescent="0.3">
      <c r="A13">
        <v>12</v>
      </c>
      <c r="B13" s="5">
        <v>44426</v>
      </c>
    </row>
    <row r="14" spans="1:5" x14ac:dyDescent="0.3">
      <c r="A14">
        <v>13</v>
      </c>
      <c r="B14" s="5">
        <v>44427</v>
      </c>
    </row>
    <row r="15" spans="1:5" x14ac:dyDescent="0.3">
      <c r="A15">
        <v>14</v>
      </c>
      <c r="B15" s="5">
        <v>44428</v>
      </c>
    </row>
    <row r="16" spans="1:5" x14ac:dyDescent="0.3">
      <c r="A16">
        <v>15</v>
      </c>
      <c r="B16" s="5">
        <v>44429</v>
      </c>
    </row>
    <row r="17" spans="1:2" x14ac:dyDescent="0.3">
      <c r="A17">
        <v>16</v>
      </c>
      <c r="B17" s="5">
        <v>44430</v>
      </c>
    </row>
    <row r="18" spans="1:2" x14ac:dyDescent="0.3">
      <c r="A18">
        <v>17</v>
      </c>
      <c r="B18" s="5">
        <v>44431</v>
      </c>
    </row>
    <row r="19" spans="1:2" x14ac:dyDescent="0.3">
      <c r="A19">
        <v>18</v>
      </c>
      <c r="B19" s="5">
        <v>44432</v>
      </c>
    </row>
    <row r="20" spans="1:2" x14ac:dyDescent="0.3">
      <c r="A20">
        <v>19</v>
      </c>
      <c r="B20" s="5">
        <v>44433</v>
      </c>
    </row>
    <row r="21" spans="1:2" x14ac:dyDescent="0.3">
      <c r="A21">
        <v>20</v>
      </c>
      <c r="B21" s="5">
        <v>44434</v>
      </c>
    </row>
    <row r="22" spans="1:2" x14ac:dyDescent="0.3">
      <c r="A22">
        <v>21</v>
      </c>
      <c r="B22" s="5">
        <v>44435</v>
      </c>
    </row>
    <row r="23" spans="1:2" x14ac:dyDescent="0.3">
      <c r="A23">
        <v>22</v>
      </c>
      <c r="B23" s="5">
        <v>44436</v>
      </c>
    </row>
    <row r="24" spans="1:2" x14ac:dyDescent="0.3">
      <c r="A24">
        <v>23</v>
      </c>
      <c r="B24" s="5">
        <v>44437</v>
      </c>
    </row>
    <row r="25" spans="1:2" x14ac:dyDescent="0.3">
      <c r="A25">
        <v>24</v>
      </c>
      <c r="B25" s="5">
        <v>44438</v>
      </c>
    </row>
    <row r="26" spans="1:2" x14ac:dyDescent="0.3">
      <c r="A26">
        <v>25</v>
      </c>
      <c r="B26" s="5">
        <v>44439</v>
      </c>
    </row>
    <row r="27" spans="1:2" x14ac:dyDescent="0.3">
      <c r="A27">
        <v>26</v>
      </c>
      <c r="B27" s="5">
        <v>44440</v>
      </c>
    </row>
    <row r="28" spans="1:2" x14ac:dyDescent="0.3">
      <c r="A28">
        <v>27</v>
      </c>
      <c r="B28" s="5">
        <v>44441</v>
      </c>
    </row>
    <row r="29" spans="1:2" x14ac:dyDescent="0.3">
      <c r="A29">
        <v>28</v>
      </c>
      <c r="B29" s="5">
        <v>44442</v>
      </c>
    </row>
    <row r="30" spans="1:2" x14ac:dyDescent="0.3">
      <c r="A30">
        <v>29</v>
      </c>
      <c r="B30" s="5">
        <v>44443</v>
      </c>
    </row>
    <row r="31" spans="1:2" x14ac:dyDescent="0.3">
      <c r="A31">
        <v>30</v>
      </c>
      <c r="B31" s="5">
        <v>44444</v>
      </c>
    </row>
    <row r="32" spans="1:2" x14ac:dyDescent="0.3">
      <c r="A32">
        <v>31</v>
      </c>
      <c r="B32" s="5">
        <v>44445</v>
      </c>
    </row>
    <row r="33" spans="1:2" x14ac:dyDescent="0.3">
      <c r="A33">
        <v>32</v>
      </c>
      <c r="B33" s="5">
        <v>44446</v>
      </c>
    </row>
    <row r="34" spans="1:2" x14ac:dyDescent="0.3">
      <c r="A34">
        <v>33</v>
      </c>
      <c r="B34" s="5">
        <v>44447</v>
      </c>
    </row>
    <row r="35" spans="1:2" x14ac:dyDescent="0.3">
      <c r="A35">
        <v>34</v>
      </c>
      <c r="B35" s="5">
        <v>44448</v>
      </c>
    </row>
    <row r="36" spans="1:2" x14ac:dyDescent="0.3">
      <c r="A36">
        <v>35</v>
      </c>
      <c r="B36" s="5">
        <v>44449</v>
      </c>
    </row>
    <row r="37" spans="1:2" x14ac:dyDescent="0.3">
      <c r="A37">
        <v>36</v>
      </c>
      <c r="B37" s="5">
        <v>44450</v>
      </c>
    </row>
    <row r="38" spans="1:2" x14ac:dyDescent="0.3">
      <c r="A38">
        <v>37</v>
      </c>
      <c r="B38" s="5">
        <v>44451</v>
      </c>
    </row>
    <row r="39" spans="1:2" x14ac:dyDescent="0.3">
      <c r="A39">
        <v>38</v>
      </c>
      <c r="B39" s="5">
        <v>44452</v>
      </c>
    </row>
    <row r="40" spans="1:2" x14ac:dyDescent="0.3">
      <c r="A40">
        <v>39</v>
      </c>
      <c r="B40" s="5">
        <v>44453</v>
      </c>
    </row>
    <row r="41" spans="1:2" x14ac:dyDescent="0.3">
      <c r="A41">
        <v>40</v>
      </c>
      <c r="B41" s="5">
        <v>44454</v>
      </c>
    </row>
    <row r="42" spans="1:2" x14ac:dyDescent="0.3">
      <c r="A42">
        <v>41</v>
      </c>
      <c r="B42" s="5">
        <v>44455</v>
      </c>
    </row>
    <row r="43" spans="1:2" x14ac:dyDescent="0.3">
      <c r="A43">
        <v>42</v>
      </c>
      <c r="B43" s="5">
        <v>44456</v>
      </c>
    </row>
    <row r="44" spans="1:2" x14ac:dyDescent="0.3">
      <c r="A44">
        <v>43</v>
      </c>
      <c r="B44" s="5">
        <v>44457</v>
      </c>
    </row>
    <row r="45" spans="1:2" x14ac:dyDescent="0.3">
      <c r="A45">
        <v>44</v>
      </c>
      <c r="B45" s="5">
        <v>44458</v>
      </c>
    </row>
    <row r="46" spans="1:2" x14ac:dyDescent="0.3">
      <c r="A46">
        <v>45</v>
      </c>
      <c r="B46" s="5">
        <v>44459</v>
      </c>
    </row>
    <row r="47" spans="1:2" x14ac:dyDescent="0.3">
      <c r="A47">
        <v>46</v>
      </c>
      <c r="B47" s="5">
        <v>44460</v>
      </c>
    </row>
    <row r="48" spans="1:2" x14ac:dyDescent="0.3">
      <c r="A48">
        <v>47</v>
      </c>
      <c r="B48" s="5">
        <v>44461</v>
      </c>
    </row>
    <row r="49" spans="1:2" x14ac:dyDescent="0.3">
      <c r="A49">
        <v>48</v>
      </c>
      <c r="B49" s="5">
        <v>44462</v>
      </c>
    </row>
    <row r="50" spans="1:2" x14ac:dyDescent="0.3">
      <c r="A50">
        <v>49</v>
      </c>
      <c r="B50" s="5">
        <v>44463</v>
      </c>
    </row>
    <row r="51" spans="1:2" x14ac:dyDescent="0.3">
      <c r="A51">
        <v>50</v>
      </c>
      <c r="B51" s="5">
        <v>44464</v>
      </c>
    </row>
    <row r="52" spans="1:2" x14ac:dyDescent="0.3">
      <c r="A52">
        <v>51</v>
      </c>
      <c r="B52" s="5">
        <v>44465</v>
      </c>
    </row>
    <row r="53" spans="1:2" x14ac:dyDescent="0.3">
      <c r="A53">
        <v>52</v>
      </c>
      <c r="B53" s="5">
        <v>44466</v>
      </c>
    </row>
    <row r="54" spans="1:2" x14ac:dyDescent="0.3">
      <c r="A54">
        <v>53</v>
      </c>
      <c r="B54" s="5">
        <v>44467</v>
      </c>
    </row>
    <row r="55" spans="1:2" x14ac:dyDescent="0.3">
      <c r="A55">
        <v>54</v>
      </c>
      <c r="B55" s="5">
        <v>44468</v>
      </c>
    </row>
    <row r="56" spans="1:2" x14ac:dyDescent="0.3">
      <c r="A56">
        <v>55</v>
      </c>
      <c r="B56" s="5">
        <v>44469</v>
      </c>
    </row>
    <row r="57" spans="1:2" x14ac:dyDescent="0.3">
      <c r="A57">
        <v>56</v>
      </c>
      <c r="B57" s="5">
        <v>44470</v>
      </c>
    </row>
    <row r="58" spans="1:2" x14ac:dyDescent="0.3">
      <c r="A58">
        <v>57</v>
      </c>
      <c r="B58" s="5">
        <v>44471</v>
      </c>
    </row>
    <row r="59" spans="1:2" x14ac:dyDescent="0.3">
      <c r="A59">
        <v>58</v>
      </c>
      <c r="B59" s="5">
        <v>44472</v>
      </c>
    </row>
    <row r="60" spans="1:2" x14ac:dyDescent="0.3">
      <c r="A60">
        <v>59</v>
      </c>
      <c r="B60" s="5">
        <v>44473</v>
      </c>
    </row>
    <row r="61" spans="1:2" x14ac:dyDescent="0.3">
      <c r="A61">
        <v>60</v>
      </c>
      <c r="B61" s="5">
        <v>44474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49EB473549D042A35013002F15D695" ma:contentTypeVersion="12" ma:contentTypeDescription="Create a new document." ma:contentTypeScope="" ma:versionID="407f5a05eb629a285ed4ee4d0b105e67">
  <xsd:schema xmlns:xsd="http://www.w3.org/2001/XMLSchema" xmlns:xs="http://www.w3.org/2001/XMLSchema" xmlns:p="http://schemas.microsoft.com/office/2006/metadata/properties" xmlns:ns3="7dd21995-0bd6-489d-aa9e-1ee4467353c6" xmlns:ns4="a8a50628-83b1-4679-9d6b-c517787d0ac5" targetNamespace="http://schemas.microsoft.com/office/2006/metadata/properties" ma:root="true" ma:fieldsID="f5e5a86b08918763e9f6459f7e606769" ns3:_="" ns4:_="">
    <xsd:import namespace="7dd21995-0bd6-489d-aa9e-1ee4467353c6"/>
    <xsd:import namespace="a8a50628-83b1-4679-9d6b-c517787d0ac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d21995-0bd6-489d-aa9e-1ee4467353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a50628-83b1-4679-9d6b-c517787d0ac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C37F202-02FE-4A0E-A321-DED0FF62B83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E60550E-57C7-4EF3-BEB3-A5A8F11DA6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d21995-0bd6-489d-aa9e-1ee4467353c6"/>
    <ds:schemaRef ds:uri="a8a50628-83b1-4679-9d6b-c517787d0a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E81E703-1360-4015-A8D5-B146735283A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B1F2C74-7D6F-4BBE-849E-D9C671D30700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7dd21995-0bd6-489d-aa9e-1ee4467353c6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a8a50628-83b1-4679-9d6b-c517787d0ac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3</vt:i4>
      </vt:variant>
    </vt:vector>
  </HeadingPairs>
  <TitlesOfParts>
    <vt:vector size="12" baseType="lpstr">
      <vt:lpstr>tabela_query</vt:lpstr>
      <vt:lpstr>tabela_media</vt:lpstr>
      <vt:lpstr>tabela_chuva</vt:lpstr>
      <vt:lpstr>tabela_maxima</vt:lpstr>
      <vt:lpstr>tabela_minima</vt:lpstr>
      <vt:lpstr>dashboard</vt:lpstr>
      <vt:lpstr>Climograma Santos - SP</vt:lpstr>
      <vt:lpstr>Tabela de registros climáticos</vt:lpstr>
      <vt:lpstr>Fonte</vt:lpstr>
      <vt:lpstr>tabrla_query</vt:lpstr>
      <vt:lpstr>temperatura_media</vt:lpstr>
      <vt:lpstr>temperaturaMedia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Funchal</dc:creator>
  <cp:lastModifiedBy>Rafael Funchal</cp:lastModifiedBy>
  <dcterms:created xsi:type="dcterms:W3CDTF">2021-08-08T15:20:46Z</dcterms:created>
  <dcterms:modified xsi:type="dcterms:W3CDTF">2021-09-06T22:15:51Z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0x010100CF49EB473549D042A35013002F15D695</vt:lpwstr>
  </property>
</Properties>
</file>